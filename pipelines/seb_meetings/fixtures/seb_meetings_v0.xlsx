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Meetings" sheetId="2" state="visible" r:id="rId4"/>
    <sheet name="Controversies" sheetId="3" state="visible" r:id="rId5"/>
    <sheet name="Sources" sheetId="4" state="visible" r:id="rId6"/>
    <sheet name="Update Script" sheetId="5" state="visible" r:id="rId7"/>
  </sheets>
  <definedNames>
    <definedName function="false" hidden="true" localSheetId="2" name="_xlnm._FilterDatabase" vbProcedure="false">Controversies!$B$5:$H$13</definedName>
    <definedName function="false" hidden="true" localSheetId="1" name="_xlnm._FilterDatabase" vbProcedure="false">Meetings!$B$5:$Q$21</definedName>
    <definedName function="false" hidden="true" localSheetId="3" name="_xlnm._FilterDatabase" vbProcedure="false">Sources!$B$5:$F$19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<sst xmlns="http://schemas.openxmlformats.org/spreadsheetml/2006/main" count="400" uniqueCount="251">
  <si>
    <t xml:space="preserve">GEORGIA STATE ELECTION BOARD — MEETINGS DASHBOARD</t>
  </si>
  <si>
    <t xml:space="preserve">Tracking SEB meetings, agendas, decisions, compliance &amp; controversies — Jan 2025 onward</t>
  </si>
  <si>
    <t xml:space="preserve">TOTAL MEETINGS</t>
  </si>
  <si>
    <t xml:space="preserve">SPECIAL CALLED</t>
  </si>
  <si>
    <t xml:space="preserve">COMPLIANCE FLAGS</t>
  </si>
  <si>
    <t xml:space="preserve">ACTIVE CONTROVERSIES</t>
  </si>
  <si>
    <t xml:space="preserve">MEETING CADENCE &amp; COMPLIANCE</t>
  </si>
  <si>
    <t xml:space="preserve">Month</t>
  </si>
  <si>
    <t xml:space="preserve">Meetings</t>
  </si>
  <si>
    <t xml:space="preserve">Compliance Status</t>
  </si>
  <si>
    <t xml:space="preserve">Count</t>
  </si>
  <si>
    <t xml:space="preserve">Jan 2025</t>
  </si>
  <si>
    <t xml:space="preserve">Compliant</t>
  </si>
  <si>
    <t xml:space="preserve">Feb 2025</t>
  </si>
  <si>
    <t xml:space="preserve">Notice Concerns</t>
  </si>
  <si>
    <t xml:space="preserve">Mar 2025</t>
  </si>
  <si>
    <t xml:space="preserve">Other Concerns</t>
  </si>
  <si>
    <t xml:space="preserve">Apr 2025</t>
  </si>
  <si>
    <t xml:space="preserve">May 2025</t>
  </si>
  <si>
    <t xml:space="preserve">Jun 2025</t>
  </si>
  <si>
    <t xml:space="preserve">Jul 2025</t>
  </si>
  <si>
    <t xml:space="preserve">Aug 2025</t>
  </si>
  <si>
    <t xml:space="preserve">Sep 2025</t>
  </si>
  <si>
    <t xml:space="preserve">Oct 2025</t>
  </si>
  <si>
    <t xml:space="preserve">Nov 2025</t>
  </si>
  <si>
    <t xml:space="preserve">Dec 2025</t>
  </si>
  <si>
    <t xml:space="preserve">Jan 2026</t>
  </si>
  <si>
    <t xml:space="preserve">Feb 2026</t>
  </si>
  <si>
    <t xml:space="preserve">Mar 2026</t>
  </si>
  <si>
    <t xml:space="preserve">Apr 2026</t>
  </si>
  <si>
    <t xml:space="preserve">May 2026</t>
  </si>
  <si>
    <t xml:space="preserve">HOW TO USE</t>
  </si>
  <si>
    <t xml:space="preserve">•  Meetings tab — sortable/filterable table of every meeting with date, type, agenda, decisions, video link, compliance flag, and controversies.</t>
  </si>
  <si>
    <t xml:space="preserve">•  Controversies tab — detailed log of FBI Fulton raid, Open Meetings Act lawsuits, hand-count rule, SB 189 / QR-code ban, and other ongoing disputes.</t>
  </si>
  <si>
    <t xml:space="preserve">•  Sources tab — citation list with URLs to official SEB resources, watchdog filings, and news coverage.</t>
  </si>
  <si>
    <t xml:space="preserve">•  Update Script tab — instructions and code for the standalone update_meetings.py automation that fetches new meetings.</t>
  </si>
  <si>
    <t xml:space="preserve">•  All KPI tiles and charts recalc automatically when rows are added to the Meetings table. To add a meeting, append a new row at row 6 (top of table) and re-sort.</t>
  </si>
  <si>
    <t xml:space="preserve">MEETINGS — Jan 2025 onward</t>
  </si>
  <si>
    <t xml:space="preserve">#</t>
  </si>
  <si>
    <t xml:space="preserve">Date</t>
  </si>
  <si>
    <t xml:space="preserve">Day</t>
  </si>
  <si>
    <t xml:space="preserve">Type</t>
  </si>
  <si>
    <t xml:space="preserve">Format</t>
  </si>
  <si>
    <t xml:space="preserve">Chair</t>
  </si>
  <si>
    <t xml:space="preserve">Members Present</t>
  </si>
  <si>
    <t xml:space="preserve">Quorum</t>
  </si>
  <si>
    <t xml:space="preserve">Agenda Summary</t>
  </si>
  <si>
    <t xml:space="preserve">Key Decisions</t>
  </si>
  <si>
    <t xml:space="preserve">Video Link</t>
  </si>
  <si>
    <t xml:space="preserve">Source / Notes Link</t>
  </si>
  <si>
    <t xml:space="preserve">Open Mtgs Compliance</t>
  </si>
  <si>
    <t xml:space="preserve">Compliance Notes</t>
  </si>
  <si>
    <t xml:space="preserve">Controversies</t>
  </si>
  <si>
    <t xml:space="preserve">Hours</t>
  </si>
  <si>
    <t xml:space="preserve">Thu</t>
  </si>
  <si>
    <t xml:space="preserve">Special Called</t>
  </si>
  <si>
    <t xml:space="preserve">Zoom + YouTube</t>
  </si>
  <si>
    <t xml:space="preserve">Janice Johnston (Vice Chair, Acting)</t>
  </si>
  <si>
    <t xml:space="preserve">Johnston, Grubbs, King; Ghazal (partial, joined after 2nd vote)</t>
  </si>
  <si>
    <t xml:space="preserve">Yes (3, then 4)</t>
  </si>
  <si>
    <t xml:space="preserve">Special called meeting; Chairman Fervier absent. ED Mills report and three personnel/program votes; dropbag oversight discussion (Fulton 22 added sites); election-night reporting oversight; Grubbs presented 3 temporary rule proposals (183-1-11-.01 Ballot Secrecy; 183-1-12-.01 Conduct of Elections; 183-1-15-.02 Definition of Vote) + 1 permanent proposal (183-1-12-.11) — no vote taken.</t>
  </si>
  <si>
    <t xml:space="preserve">Appointed Hope Cohen as Deputy Director (3-0). Approved virtual licensed PI Pilot Program (~$250K, ED Mills oversight) 2-1 (Grubbs nay). Data-analyst contract (~$50K) FAILED 2-2 (Johnston/King yea; Grubbs/Ghazal nay). Authorized ED to obtain independent legal counsel on SEB oversight of election-night reporting (3-0, Ghazal abstained). Rule petitions deferred — no vote.</t>
  </si>
  <si>
    <t xml:space="preserve">Watch</t>
  </si>
  <si>
    <t xml:space="preserve">Source</t>
  </si>
  <si>
    <t xml:space="preserve">Special called notice provided; live-streamed via Zoom + YouTube; minutes maintained. Temporary rule proposals presented but not voted (no quorum view + Chairman opposed by email); deferred to June meeting.</t>
  </si>
  <si>
    <t xml:space="preserve">Johnston alleges SOS HR obstructing SEB hiring and leaking applicant info to AJC; raised possibility of ethics complaint. Johnston public advice not to vote absentee unless necessary. Grubbs/King challenge SOS denial of SEB observer role for election-night reporting (Grubbs: 'if you have nothing to hide, you hide nothing'; King: government 'paid for by the people' should be transparent). Fulton 22-site dropbag program halted day of meeting. Three temporary rule petitions presented without statutory emergency finding under OCGA 50-13-4(b); Definition-of-Vote rule references statute not yet effective; Chairman Fervier emailed opposition. Likely another special meeting before June 3-4.</t>
  </si>
  <si>
    <t xml:space="preserve">Wed</t>
  </si>
  <si>
    <t xml:space="preserve">John Fervier</t>
  </si>
  <si>
    <t xml:space="preserve">Fervier, Grubbs, King, Gazaal, Johnston</t>
  </si>
  <si>
    <t xml:space="preserve">Yes</t>
  </si>
  <si>
    <t xml:space="preserve">Two rule petitions heard. CGG petition (rules 183-1-15-.02, 183-1-2-.01, 183-1-12-.11) on definition of a vote and backup paper-ballot plan; old business discussion from member Grubbs; ED added late agenda item.</t>
  </si>
  <si>
    <t xml:space="preserve">Voted 3-2 to hold a working meeting next week with Coalition for Good Governance on hand-marked paper ballots; petitioners objected on the record that 20-minute presentation cap was inadequate.</t>
  </si>
  <si>
    <t xml:space="preserve">Petitioners reserved objection that staff notice may have been inadequate; meeting hastily convened online after SB 214 failed in legislature.</t>
  </si>
  <si>
    <t xml:space="preserve">SB 189 / QR-code ban; hand-marked paper ballots; CGG petition; legislative deadlock (SB 214 failed)</t>
  </si>
  <si>
    <t xml:space="preserve">Regular</t>
  </si>
  <si>
    <t xml:space="preserve">In-person + YouTube</t>
  </si>
  <si>
    <t xml:space="preserve">Fervier, Grubbs, King, Johnston</t>
  </si>
  <si>
    <t xml:space="preserve">Discussion of looming July 1, 2026 QR-code ban (SB 189); Blake Evans (SOS Elections Director) no-show; counties seeking guidance on transition.</t>
  </si>
  <si>
    <t xml:space="preserve">Board signaled need for special meeting on SB 189 implementation; deferred final action; pressed SOS office for written guidance.</t>
  </si>
  <si>
    <t xml:space="preserve">Public comment period; minutes maintained; agenda posted in advance.</t>
  </si>
  <si>
    <t xml:space="preserve">SB 189 implementation uncertainty; FBI Fulton raid amicus brief filing concerns</t>
  </si>
  <si>
    <t xml:space="preserve">Approval of Feb 18 minutes; cases for dismissal and possible violation; Blake Evans no-show again; rule petition discussion.</t>
  </si>
  <si>
    <t xml:space="preserve">Multiple case dismissals; continuances issued where SOS still investigating; no major rule adoption.</t>
  </si>
  <si>
    <t xml:space="preserve">Standard notice; minutes approved; live-streamed.</t>
  </si>
  <si>
    <t xml:space="preserve">SOS office relations strained; Blake Evans absence</t>
  </si>
  <si>
    <t xml:space="preserve">Regular (Day 2)</t>
  </si>
  <si>
    <t xml:space="preserve">Continuation of Feb 18 agenda; approval of Oct 22, 2025 and Nov 12, 2025 minutes; remaining cases.</t>
  </si>
  <si>
    <t xml:space="preserve">Minutes approved for Oct 22/Nov 12 2025; additional case dispositions including continuances and dismissals.</t>
  </si>
  <si>
    <t xml:space="preserve">Day-2 continuation; 24-hr notice maintained; record kept by court reporter.</t>
  </si>
  <si>
    <t xml:space="preserve">FBI Fulton raid fallout — first SEB meeting after Jan FBI seizure</t>
  </si>
  <si>
    <t xml:space="preserve">Regular (Day 1)</t>
  </si>
  <si>
    <t xml:space="preserve">First SEB meeting since FBI Fulton raid; cases including Cook County (vote-buying), Elbert (incorrect ballot), Fulton (fraudulent registration), Fulton non-citizen voting (SCB 2024-171); America PAC pre-filled AB applications (SCB 2024-151).</t>
  </si>
  <si>
    <t xml:space="preserve">Dismissed SCB 2024-130, 2025-012, 2023-045, 2024-191; letter of reprimand to America PAC for OCGA 21-2-381 violations; Fulton non-citizen case discussion.</t>
  </si>
  <si>
    <t xml:space="preserve">Notice posted; quorum present in person; minutes recorded.</t>
  </si>
  <si>
    <t xml:space="preserve">FBI Fulton raid (Jan 2026, 700 boxes seized); SEB amicus brief in Pitts v. United States</t>
  </si>
  <si>
    <t xml:space="preserve">11-hour marathon meeting; voter data sharing with US DOJ; recommendation to eliminate absentee drop boxes; public-comment chilling motion (later withdrawn); SB 189 hearing preview.</t>
  </si>
  <si>
    <t xml:space="preserve">Passed resolution urging SOS to share GA voter registration data with DOJ; passed resolution recommending GA General Assembly eliminate absentee drop boxes statewide; tabled motion that critics called intimidation of public commenters.</t>
  </si>
  <si>
    <t xml:space="preserve">Notice met; livestreamed; lengthy public comment.</t>
  </si>
  <si>
    <t xml:space="preserve">DOJ voter-data sharing dispute with SOS; drop-box elimination recommendation; alleged intimidation motion</t>
  </si>
  <si>
    <t xml:space="preserve">Johnston, Grubbs, King</t>
  </si>
  <si>
    <t xml:space="preserve">Yes (3 of 5)</t>
  </si>
  <si>
    <t xml:space="preserve">Hearing of public comments on petition for rule change (defining 'impossible/impracticable' for emergency ballots); cases bound over to AG; double-voting cases.</t>
  </si>
  <si>
    <t xml:space="preserve">Bound several cases to AG for fines; rule petition deferred for further consideration; opposition urged board to vote no on proposed rule citing Eternal Vigilance ruling.</t>
  </si>
  <si>
    <t xml:space="preserve">Notice met; quorum of 3; vice chair presided in chairman's absence.</t>
  </si>
  <si>
    <t xml:space="preserve">Chairman Fervier absent and not communicating; rule allegedly exceeds SEB authority per Eternal Vigilance</t>
  </si>
  <si>
    <t xml:space="preserve">Tue</t>
  </si>
  <si>
    <t xml:space="preserve">Approval of minutes; SOS investigations report; rule petition first reading on emergency ballot definitions tied to SB 189.</t>
  </si>
  <si>
    <t xml:space="preserve">Continued petition consideration; received status update on 250 SOS-completed cases delivered two months prior.</t>
  </si>
  <si>
    <t xml:space="preserve">Notice met; minutes approved; live-streamed.</t>
  </si>
  <si>
    <t xml:space="preserve">QR-code/SB 189 transition rule petition — same one challenged by opponents</t>
  </si>
  <si>
    <t xml:space="preserve">Special called meeting to consider two rule petitions.</t>
  </si>
  <si>
    <t xml:space="preserve">Petitions heard and discussed; advanced to next regular meeting for further action.</t>
  </si>
  <si>
    <t xml:space="preserve">Special called notice provided; live-streamed.</t>
  </si>
  <si>
    <t xml:space="preserve">Rule-making process scrutiny</t>
  </si>
  <si>
    <t xml:space="preserve">Cases and case dismissals; rule discussion; minutes from prior meeting.</t>
  </si>
  <si>
    <t xml:space="preserve">Multiple case dispositions; advanced rule petition to Dec meeting.</t>
  </si>
  <si>
    <t xml:space="preserve">Standard notice; minutes maintained.</t>
  </si>
  <si>
    <t xml:space="preserve">Initial presentation of emergency-ballot rule petition; cases.</t>
  </si>
  <si>
    <t xml:space="preserve">Rule petition received first hearing; some board members questioned authority; advanced for further deliberation.</t>
  </si>
  <si>
    <t xml:space="preserve">Notice met; minutes later approved at Feb 19, 2026 meeting.</t>
  </si>
  <si>
    <t xml:space="preserve">GA Court of Appeals ruling Oct 28, 2025 reversing dismissal of Open Meetings Act lawsuit (American Oversight v. SEB)</t>
  </si>
  <si>
    <t xml:space="preserve">Approval of July 23 executive session minutes and July 29-30 meeting minutes; cases.</t>
  </si>
  <si>
    <t xml:space="preserve">Routine minute approvals; case dispositions.</t>
  </si>
  <si>
    <t xml:space="preserve">Notice met; executive session minutes approved.</t>
  </si>
  <si>
    <t xml:space="preserve">Reformatted agenda — long-distance respondents heard Day 1, Atlanta-area Day 2; AG report; consent orders including Straden/Graven County ($500 civil penalty).</t>
  </si>
  <si>
    <t xml:space="preserve">Consent order against Graven County BOE (cease &amp; desist + training + $500 fine); multiple AG case acceptances (3-0); cases SCB 2020-147, 2020-201 acted on.</t>
  </si>
  <si>
    <t xml:space="preserve">Notice met; public comment moved to end of each day at member request.</t>
  </si>
  <si>
    <t xml:space="preserve">Fervier, King, Johnston</t>
  </si>
  <si>
    <t xml:space="preserve">DeKalb County cases heard first by attorney request; SCB 2022-369 (rollover absentee), SCB 2024-062 (VR fraud), SCB 2024-156 (Emory Voting Initiative TPO registrations).</t>
  </si>
  <si>
    <t xml:space="preserve">Dismissed SCB 2022-369 (3-0); dismissed SCB 2024-062 with letter to DeKalb on registrant status; continued SCB 2024-156 with directive to investigate TPO practices and request Emory response at future meeting.</t>
  </si>
  <si>
    <t xml:space="preserve">Notice met; quorum present; minutes maintained.</t>
  </si>
  <si>
    <t xml:space="preserve">Third-party voter registration org concerns; DDS automatic registration concerns</t>
  </si>
  <si>
    <t xml:space="preserve">Day 1 agenda; cases for long-distance respondents prioritized.</t>
  </si>
  <si>
    <t xml:space="preserve">Various case dispositions; chaotic scheduling acknowledged for future improvement.</t>
  </si>
  <si>
    <t xml:space="preserve">Notice met; minutes later approved at July 29, 2025 meeting.</t>
  </si>
  <si>
    <t xml:space="preserve">Virtual (Zoom + YouTube)</t>
  </si>
  <si>
    <t xml:space="preserve">Fervier, Johnston, King, Gazaal, Jeffares</t>
  </si>
  <si>
    <t xml:space="preserve">Full agenda; first 2025 livestreamed meeting; cases.</t>
  </si>
  <si>
    <t xml:space="preserve">Routine case dispositions; agenda continued to next day if needed.</t>
  </si>
  <si>
    <t xml:space="preserve">Notice met; livestreamed.</t>
  </si>
  <si>
    <t xml:space="preserve">CONTROVERSIES — FBI raid, rule changes, lawsuits</t>
  </si>
  <si>
    <t xml:space="preserve">Issue</t>
  </si>
  <si>
    <t xml:space="preserve">Status</t>
  </si>
  <si>
    <t xml:space="preserve">Description</t>
  </si>
  <si>
    <t xml:space="preserve">Latest Action / Posture</t>
  </si>
  <si>
    <t xml:space="preserve">Primary Source</t>
  </si>
  <si>
    <t xml:space="preserve">FBI Fulton County Raid (Jan 2026)</t>
  </si>
  <si>
    <t xml:space="preserve">2026-01</t>
  </si>
  <si>
    <t xml:space="preserve">Active</t>
  </si>
  <si>
    <t xml:space="preserve">FBI executed search warrant at Fulton County Elections Hub &amp; Operations Center, seizing ~700 boxes of 2020 election records including original ballots, tabulator tapes, and personal voter data. Investigation tied to alleged 2020 'deficiencies'.</t>
  </si>
  <si>
    <t xml:space="preserve">Fulton BOC sued federal government to retrieve ballots; SEB members Johnston/King/Grubbs filed amicus brief in Pitts v. United States supporting Trump-administration seizure — without public SEB vote.</t>
  </si>
  <si>
    <t xml:space="preserve">SEB Members' Amicus Brief (Apr 2026)</t>
  </si>
  <si>
    <t xml:space="preserve">2026-04</t>
  </si>
  <si>
    <t xml:space="preserve">Three SEB members (Johnston, King, Grubbs) filed amicus brief in Pitts v. United States supporting FBI seizure, using official titles, without public SEB vote or noticed meeting.</t>
  </si>
  <si>
    <t xml:space="preserve">American Oversight sent demand letter Apr 14, 2026 alleging Open Meetings Act violation (gathering of quorum without notice) and improper use of board authority.</t>
  </si>
  <si>
    <t xml:space="preserve">Hand-Count Rule Permanently Blocked</t>
  </si>
  <si>
    <t xml:space="preserve">2025-06-10</t>
  </si>
  <si>
    <t xml:space="preserve">Resolved</t>
  </si>
  <si>
    <t xml:space="preserve">GA Supreme Court upheld lower-court ruling permanently blocking SEB rule requiring hand-counting of ballots at polling places before tabulation. Court found SEB exceeded statutory authority.</t>
  </si>
  <si>
    <t xml:space="preserve">Eternal Vigilance Action, Inc. v. Georgia — confirmed SEB cannot rewrite procedures without legislative approval. Now central precedent in 2025-26 rule-petition debates.</t>
  </si>
  <si>
    <t xml:space="preserve">Open Meetings Act Lawsuit (Jul 12 2024 meeting)</t>
  </si>
  <si>
    <t xml:space="preserve">2025-10-28</t>
  </si>
  <si>
    <t xml:space="preserve">American Oversight challenged July 12, 2024 SEB meeting where 3 members (Johnston, Jeffares, King) allegedly held meeting without public notice or proper quorum (one member by video) to push GOP-coordinated rule changes.</t>
  </si>
  <si>
    <t xml:space="preserve">GA Court of Appeals reversed trial court dismissal Oct 28, 2025, ruling Open Meetings Act itself waives sovereign immunity. Civil penalties sought against three members; case proceeds in trial court.</t>
  </si>
  <si>
    <t xml:space="preserve">SB 189 / QR-Code Ban Implementation</t>
  </si>
  <si>
    <t xml:space="preserve">SB 189 prohibits QR codes for vote tabulation effective July 1, 2026. SB 214 (move deadline to 2028) failed in House (132-39 vote) April 2026. Counties without clear transition guidance.</t>
  </si>
  <si>
    <t xml:space="preserve">Coalition for Good Governance petitioned SEB to invoke statutory backup paper-ballot plan under OCGA 21-2-281 / 21-2-334. April 22, 2026 special meeting voted 3-2 to hold working session with petitioners.</t>
  </si>
  <si>
    <t xml:space="preserve">Drop-Box Elimination Resolution</t>
  </si>
  <si>
    <t xml:space="preserve">2026-01-21</t>
  </si>
  <si>
    <t xml:space="preserve">SEB passed resolution recommending GA General Assembly permanently eliminate absentee ballot drop boxes statewide and further restrict where absentee ballots may be returned.</t>
  </si>
  <si>
    <t xml:space="preserve">Common Cause Georgia and voting-rights groups oppose; resolution is recommendation only, requires legislative action.</t>
  </si>
  <si>
    <t xml:space="preserve">DOJ Voter Data Sharing Dispute</t>
  </si>
  <si>
    <t xml:space="preserve">SEB voted to encourage SOS Raffensperger to share GA voter registration data with US DOJ. SOS publicly refused, citing voter-privacy law.</t>
  </si>
  <si>
    <t xml:space="preserve">Common Cause is suing DOJ over the underlying data request. SEB-SOS rift over data access continues into 2026.</t>
  </si>
  <si>
    <t xml:space="preserve">Johnston Public Records Settlement</t>
  </si>
  <si>
    <t xml:space="preserve">2025-11</t>
  </si>
  <si>
    <t xml:space="preserve">American Oversight settled separate lawsuit against SEB and member Johnston, resolving claims that Johnston significantly delayed public-records responses by refusing SEB staff access to her official emails before 2024 election.</t>
  </si>
  <si>
    <t xml:space="preserve">Settlement terms not fully public; lawsuit closed.</t>
  </si>
  <si>
    <t xml:space="preserve">SOURCES &amp; CITATIONS</t>
  </si>
  <si>
    <t xml:space="preserve">URL</t>
  </si>
  <si>
    <t xml:space="preserve">Notes</t>
  </si>
  <si>
    <t xml:space="preserve">Georgia State Election Board YouTube Channel</t>
  </si>
  <si>
    <t xml:space="preserve">Primary</t>
  </si>
  <si>
    <t xml:space="preserve">https://www.youtube.com/@georgiastateelectionboard</t>
  </si>
  <si>
    <t xml:space="preserve">Official livestreams and meeting recordings</t>
  </si>
  <si>
    <t xml:space="preserve">GA Secretary of State – SEB page</t>
  </si>
  <si>
    <t xml:space="preserve">https://sos.ga.gov/state-election-board</t>
  </si>
  <si>
    <t xml:space="preserve">Official SEB landing page, agendas, minutes</t>
  </si>
  <si>
    <t xml:space="preserve">American Oversight</t>
  </si>
  <si>
    <t xml:space="preserve">Watchdog</t>
  </si>
  <si>
    <t xml:space="preserve">https://americanoversight.org/</t>
  </si>
  <si>
    <t xml:space="preserve">Open Meetings Act litigation and demand letters</t>
  </si>
  <si>
    <t xml:space="preserve">Democracy Docket</t>
  </si>
  <si>
    <t xml:space="preserve">https://www.democracydocket.com/cases/georgia-state-election-board-meeting-challenge/</t>
  </si>
  <si>
    <t xml:space="preserve">Lawsuit tracker</t>
  </si>
  <si>
    <t xml:space="preserve">ACLU of Georgia</t>
  </si>
  <si>
    <t xml:space="preserve">Civil Rights</t>
  </si>
  <si>
    <t xml:space="preserve">https://www.aclu.org/press-releases/georgia-supreme-court-upholds-block-on-hand-counting-rule-in-major-win-for-voters</t>
  </si>
  <si>
    <t xml:space="preserve">Eternal Vigilance ruling coverage</t>
  </si>
  <si>
    <t xml:space="preserve">Lawyers' Committee for Civil Rights Under Law</t>
  </si>
  <si>
    <t xml:space="preserve">https://www.lawyerscommittee.org/court-blocks-georgias-new-hand-counting-rule-in-victory-for-voters/</t>
  </si>
  <si>
    <t xml:space="preserve">Hand-count rule litigation</t>
  </si>
  <si>
    <t xml:space="preserve">Common Cause Georgia (via Third Act)</t>
  </si>
  <si>
    <t xml:space="preserve">https://thirdact.org/georgia/2026/01/23/state-elections-board-meeting-on-jan-21-2026/</t>
  </si>
  <si>
    <t xml:space="preserve">Jan 21 2026 meeting recap</t>
  </si>
  <si>
    <t xml:space="preserve">FOX 5 Atlanta</t>
  </si>
  <si>
    <t xml:space="preserve">News</t>
  </si>
  <si>
    <t xml:space="preserve">https://www.fox5atlanta.com/news/georgia-election-board-meeting-fb-raid-fallout</t>
  </si>
  <si>
    <t xml:space="preserve">FBI raid coverage</t>
  </si>
  <si>
    <t xml:space="preserve">ABC News</t>
  </si>
  <si>
    <t xml:space="preserve">https://abcnews.com/Politics/fbi-conducting-court-ordered-activity-georgia-election-site/story?id=129644345</t>
  </si>
  <si>
    <t xml:space="preserve">FBI raid</t>
  </si>
  <si>
    <t xml:space="preserve">PBS NewsHour</t>
  </si>
  <si>
    <t xml:space="preserve">https://www.pbs.org/newshour/show/fbi-documents-show-what-led-to-raid-of-georgia-elections-office</t>
  </si>
  <si>
    <t xml:space="preserve">FBI raid documents</t>
  </si>
  <si>
    <t xml:space="preserve">Rough Draft Atlanta</t>
  </si>
  <si>
    <t xml:space="preserve">https://roughdraftatlanta.com/2026/04/23/georgia-election-hand-marked-ballots/</t>
  </si>
  <si>
    <t xml:space="preserve">Apr 22 2026 special meeting</t>
  </si>
  <si>
    <t xml:space="preserve">Savannah Agenda</t>
  </si>
  <si>
    <t xml:space="preserve">https://savannahagenda.com/georgia-faces-election-uncertainty-as-qr-code-ban-takes-effect-july-1/</t>
  </si>
  <si>
    <t xml:space="preserve">SB 189 implementation</t>
  </si>
  <si>
    <t xml:space="preserve">Capitol Beat News Service</t>
  </si>
  <si>
    <t xml:space="preserve">https://capitol-beat.org/2026/04/georgia-elections-bill-fails-which-could-lead-to-quick-switch-to-hand-marked-ballots/</t>
  </si>
  <si>
    <t xml:space="preserve">SB 214 failure</t>
  </si>
  <si>
    <t xml:space="preserve">GA Open Meetings Act (OCGA 50-14)</t>
  </si>
  <si>
    <t xml:space="preserve">Statute</t>
  </si>
  <si>
    <t xml:space="preserve">https://law.justia.com/codes/georgia/title-50/chapter-14/</t>
  </si>
  <si>
    <t xml:space="preserve">Statutory text</t>
  </si>
  <si>
    <t xml:space="preserve">GA SEB Special Meeting — May 14, 2026 (agenda + recording)</t>
  </si>
  <si>
    <t xml:space="preserve">https://sos.ga.gov/sites/default/files/2026-05/agenda_-_seb_special_called_meeting_-_may_14_2026.pdf</t>
  </si>
  <si>
    <t xml:space="preserve">Agenda PDF; recording at youtube.com/live/uGWdZ-DmGDA</t>
  </si>
  <si>
    <t xml:space="preserve">AUTOMATED UPDATE — update_meetings.py</t>
  </si>
  <si>
    <t xml:space="preserve">How it works</t>
  </si>
  <si>
    <t xml:space="preserve">• A standalone Python script (update_meetings.py) is delivered alongside this workbook.</t>
  </si>
  <si>
    <t xml:space="preserve">• It pulls the latest videos from the Georgia State Election Board YouTube channel and the SEB page on sos.ga.gov, parses meeting dates, and appends any meetings missing from this workbook.</t>
  </si>
  <si>
    <t xml:space="preserve">• Run it from a terminal: python update_meetings.py /path/to/this_workbook.xlsx</t>
  </si>
  <si>
    <t xml:space="preserve">• It edits the Meetings tab in place — adds new rows at the top (row 6), preserves formulas, and writes back. The Dashboard tab recalcs automatically when you open the file.</t>
  </si>
  <si>
    <t xml:space="preserve">Requirements</t>
  </si>
  <si>
    <t xml:space="preserve">• Python 3.9+</t>
  </si>
  <si>
    <t xml:space="preserve">• pip install openpyxl requests beautifulsoup4 feedparser</t>
  </si>
  <si>
    <t xml:space="preserve">• No API key required — uses YouTube channel RSS feed and the public SEB website.</t>
  </si>
  <si>
    <t xml:space="preserve">Schedule it</t>
  </si>
  <si>
    <t xml:space="preserve">• macOS / Linux (cron):  0 8 * * MON  /usr/bin/python3 /path/to/update_meetings.py /path/to/dashboard.xlsx</t>
  </si>
  <si>
    <t xml:space="preserve">• Windows (Task Scheduler): create a weekly task that runs python.exe with the script + workbook path as arguments.</t>
  </si>
  <si>
    <t xml:space="preserve">What it fills in automatically</t>
  </si>
  <si>
    <t xml:space="preserve">• Date, day-of-week, video link, and a placeholder for type/format. Agenda summary, decisions, controversies, and compliance notes are left blank for human review (these require reading the meeting).</t>
  </si>
  <si>
    <t xml:space="preserve">• You are prompted to fill the qualitative columns; everything quantitative — dashboard counts, charts — updates automatically.</t>
  </si>
  <si>
    <t xml:space="preserve">Customization</t>
  </si>
  <si>
    <t xml:space="preserve">• Channel ID is configurable at the top of the script (CHANNEL_ID).</t>
  </si>
  <si>
    <t xml:space="preserve">• Date range is configurable (FROM_DATE).</t>
  </si>
  <si>
    <t xml:space="preserve">• You can run with --dry-run to preview new meetings without writing.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</si>
</sst>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"/>
    <numFmt numFmtId="167" formatCode="yyyy\-mm\-dd"/>
    <numFmt numFmtId="168" formatCode="0.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Calibri"/>
      <family val="0"/>
      <charset val="1"/>
    </font>
    <font>
      <sz val="11"/>
      <color rgb="FFFFFFFF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b val="true"/>
      <sz val="22"/>
      <color rgb="FFFFFFF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0"/>
      <color rgb="FF28251D"/>
      <name val="Calibri"/>
      <family val="0"/>
      <charset val="1"/>
    </font>
    <font>
      <sz val="10"/>
      <color rgb="FF28251D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6"/>
      <color rgb="FFFFFFFF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u val="single"/>
      <sz val="10"/>
      <color rgb="FF0563C1"/>
      <name val="Calibri"/>
      <family val="0"/>
      <charset val="1"/>
    </font>
    <font>
      <b val="true"/>
      <sz val="12"/>
      <color rgb="FFFFFFFF"/>
      <name val="Calibri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01696F"/>
        <bgColor rgb="FF20808D"/>
      </patternFill>
    </fill>
    <fill>
      <patternFill patternType="solid">
        <fgColor rgb="FF1B474D"/>
        <bgColor rgb="FF2F5F0F"/>
      </patternFill>
    </fill>
    <fill>
      <patternFill patternType="solid">
        <fgColor rgb="FFA84B2F"/>
        <bgColor rgb="FF964219"/>
      </patternFill>
    </fill>
    <fill>
      <patternFill patternType="solid">
        <fgColor rgb="FF964219"/>
        <bgColor rgb="FFA84B2F"/>
      </patternFill>
    </fill>
    <fill>
      <patternFill patternType="solid">
        <fgColor rgb="FF944454"/>
        <bgColor rgb="FFA84B2F"/>
      </patternFill>
    </fill>
    <fill>
      <patternFill patternType="solid">
        <fgColor rgb="FFD4D1CA"/>
        <bgColor rgb="FFD9D9D9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4D1CA"/>
      </bottom>
      <diagonal/>
    </border>
    <border diagonalUp="false" diagonalDown="false">
      <left style="thin">
        <color rgb="FFD4D1CA"/>
      </left>
      <right style="thin">
        <color rgb="FFD4D1CA"/>
      </right>
      <top style="thin">
        <color rgb="FFD4D1CA"/>
      </top>
      <bottom style="thin">
        <color rgb="FFD4D1C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1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8" fontId="1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5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2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17" fillId="3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top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7">
    <dxf>
      <fill>
        <patternFill patternType="solid">
          <fgColor rgb="FF1B474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28251D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ill>
        <patternFill patternType="solid">
          <fgColor rgb="FFD8E8C8"/>
          <bgColor rgb="FF000000"/>
        </patternFill>
      </fill>
    </dxf>
    <dxf>
      <fill>
        <patternFill patternType="solid">
          <fgColor rgb="FFFFE0B2"/>
          <bgColor rgb="FF000000"/>
        </patternFill>
      </fill>
    </dxf>
    <dxf>
      <fill>
        <patternFill patternType="solid">
          <fgColor rgb="FF2F5F0F"/>
          <bgColor rgb="FF000000"/>
        </patternFill>
      </fill>
    </dxf>
    <dxf>
      <fill>
        <patternFill patternType="solid">
          <fgColor rgb="FF6E3A00"/>
          <bgColor rgb="FF000000"/>
        </patternFill>
      </fill>
    </dxf>
    <dxf>
      <fill>
        <patternFill patternType="solid">
          <fgColor rgb="FFFCE4EC"/>
          <bgColor rgb="FF000000"/>
        </patternFill>
      </fill>
    </dxf>
    <dxf>
      <font>
        <b val="1"/>
        <color rgb="FF2F5F0F"/>
      </font>
      <fill>
        <patternFill>
          <bgColor rgb="FFD8E8C8"/>
        </patternFill>
      </fill>
    </dxf>
    <dxf>
      <font>
        <b val="1"/>
        <color rgb="FF6E3A00"/>
      </font>
      <fill>
        <patternFill>
          <bgColor rgb="FFFFE0B2"/>
        </patternFill>
      </fill>
    </dxf>
    <dxf>
      <fill>
        <patternFill>
          <bgColor rgb="FFFCE4EC"/>
        </patternFill>
      </fill>
    </dxf>
    <dxf>
      <fill>
        <patternFill patternType="solid">
          <fgColor rgb="FFF8D7DA"/>
          <bgColor rgb="FF000000"/>
        </patternFill>
      </fill>
    </dxf>
    <dxf>
      <fill>
        <patternFill patternType="solid">
          <fgColor rgb="FF7A1B1B"/>
          <bgColor rgb="FF000000"/>
        </patternFill>
      </fill>
    </dxf>
    <dxf>
      <font>
        <b val="1"/>
        <color rgb="FF7A1B1B"/>
      </font>
      <fill>
        <patternFill>
          <bgColor rgb="FFF8D7DA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A1B1B"/>
      <rgbColor rgb="FF2F5F0F"/>
      <rgbColor rgb="FF000080"/>
      <rgbColor rgb="FF808000"/>
      <rgbColor rgb="FF800080"/>
      <rgbColor rgb="FF20808D"/>
      <rgbColor rgb="FFD4D1CA"/>
      <rgbColor rgb="FF878787"/>
      <rgbColor rgb="FF9999FF"/>
      <rgbColor rgb="FF944454"/>
      <rgbColor rgb="FFFCE4EC"/>
      <rgbColor rgb="FFCCFFFF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1696F"/>
      <rgbColor rgb="FF0000FF"/>
      <rgbColor rgb="FF00CCFF"/>
      <rgbColor rgb="FFCCFFFF"/>
      <rgbColor rgb="FFD8E8C8"/>
      <rgbColor rgb="FFF8D7DA"/>
      <rgbColor rgb="FF99CCFF"/>
      <rgbColor rgb="FFFF99CC"/>
      <rgbColor rgb="FFCC99FF"/>
      <rgbColor rgb="FFFFE0B2"/>
      <rgbColor rgb="FF4F81BD"/>
      <rgbColor rgb="FF33CCCC"/>
      <rgbColor rgb="FF9BBB59"/>
      <rgbColor rgb="FFFFC553"/>
      <rgbColor rgb="FFFF9900"/>
      <rgbColor rgb="FFC0504D"/>
      <rgbColor rgb="FF7A7974"/>
      <rgbColor rgb="FF969696"/>
      <rgbColor rgb="FF1B474D"/>
      <rgbColor rgb="FF339966"/>
      <rgbColor rgb="FF003300"/>
      <rgbColor rgb="FF6E3A00"/>
      <rgbColor rgb="FF964219"/>
      <rgbColor rgb="FFA84B2F"/>
      <rgbColor rgb="FF333399"/>
      <rgbColor rgb="FF28251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Meetings per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Dashboard!C10</c:f>
              <c:strCache>
                <c:ptCount val="1"/>
                <c:pt idx="0">
                  <c:v>Meetings</c:v>
                </c:pt>
              </c:strCache>
            </c:strRef>
          </c:tx>
          <c:spPr>
            <a:solidFill>
              <a:srgbClr val="20808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Dashboard!$B$11:$B$26</c:f>
              <c:strCache>
                <c:ptCount val="16"/>
                <c:pt idx="0">
                  <c:v>Jan 2025</c:v>
                </c:pt>
                <c:pt idx="1">
                  <c:v>Feb 2025</c:v>
                </c:pt>
                <c:pt idx="2">
                  <c:v>Mar 2025</c:v>
                </c:pt>
                <c:pt idx="3">
                  <c:v>Apr 2025</c:v>
                </c:pt>
                <c:pt idx="4">
                  <c:v>May 2025</c:v>
                </c:pt>
                <c:pt idx="5">
                  <c:v>Jun 2025</c:v>
                </c:pt>
                <c:pt idx="6">
                  <c:v>Jul 2025</c:v>
                </c:pt>
                <c:pt idx="7">
                  <c:v>Aug 2025</c:v>
                </c:pt>
                <c:pt idx="8">
                  <c:v>Sep 2025</c:v>
                </c:pt>
                <c:pt idx="9">
                  <c:v>Oct 2025</c:v>
                </c:pt>
                <c:pt idx="10">
                  <c:v>Nov 2025</c:v>
                </c:pt>
                <c:pt idx="11">
                  <c:v>Dec 2025</c:v>
                </c:pt>
                <c:pt idx="12">
                  <c:v>Jan 2026</c:v>
                </c:pt>
                <c:pt idx="13">
                  <c:v>Feb 2026</c:v>
                </c:pt>
                <c:pt idx="14">
                  <c:v>Mar 2026</c:v>
                </c:pt>
                <c:pt idx="15">
                  <c:v>Apr 2026</c:v>
                </c:pt>
              </c:strCache>
            </c:strRef>
          </c:cat>
          <c:val>
            <c:numRef>
              <c:f>Dashboard!$C$11:$C$26</c:f>
              <c:numCache>
                <c:formatCode>0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1</c:v>
                </c:pt>
                <c:pt idx="9">
                  <c:v>1</c:v>
                </c:pt>
                <c:pt idx="10">
                  <c:v>2</c:v>
                </c:pt>
                <c:pt idx="11">
                  <c:v>2</c:v>
                </c:pt>
                <c:pt idx="12">
                  <c:v>1</c:v>
                </c:pt>
                <c:pt idx="13">
                  <c:v>2</c:v>
                </c:pt>
                <c:pt idx="14">
                  <c:v>1</c:v>
                </c:pt>
                <c:pt idx="15">
                  <c:v>2</c:v>
                </c:pt>
              </c:numCache>
            </c:numRef>
          </c:val>
        </c:ser>
        <c:gapWidth val="150"/>
        <c:overlap val="0"/>
        <c:axId val="20119355"/>
        <c:axId val="17323130"/>
      </c:barChart>
      <c:catAx>
        <c:axId val="2011935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7323130"/>
        <c:crosses val="autoZero"/>
        <c:auto val="1"/>
        <c:lblAlgn val="ctr"/>
        <c:lblOffset val="100"/>
        <c:noMultiLvlLbl val="0"/>
      </c:catAx>
      <c:valAx>
        <c:axId val="1732313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Meetings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011935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Compliance Mix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Dashboard!F10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trike="noStrike" u="non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trike="noStrike" u="non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trike="noStrike" u="non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</c:dLbls>
          <c:cat>
            <c:strRef>
              <c:f>Dashboard!$E$11:$E$13</c:f>
              <c:strCache>
                <c:ptCount val="3"/>
                <c:pt idx="0">
                  <c:v>Compliant</c:v>
                </c:pt>
                <c:pt idx="1">
                  <c:v>Notice Concerns</c:v>
                </c:pt>
                <c:pt idx="2">
                  <c:v>Other Concerns</c:v>
                </c:pt>
              </c:strCache>
            </c:strRef>
          </c:cat>
          <c:val>
            <c:numRef>
              <c:f>Dashboard!$F$11:$F$13</c:f>
              <c:numCache>
                <c:formatCode>0</c:formatCode>
                <c:ptCount val="3"/>
                <c:pt idx="0">
                  <c:v>16</c:v>
                </c:pt>
                <c:pt idx="1">
                  <c:v>1</c:v>
                </c:pt>
                <c:pt idx="2">
                  <c:v>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9</xdr:row>
      <xdr:rowOff>0</xdr:rowOff>
    </xdr:from>
    <xdr:to>
      <xdr:col>12</xdr:col>
      <xdr:colOff>495000</xdr:colOff>
      <xdr:row>25</xdr:row>
      <xdr:rowOff>190440</xdr:rowOff>
    </xdr:to>
    <xdr:graphicFrame>
      <xdr:nvGraphicFramePr>
        <xdr:cNvPr id="0" name="Chart 1"/>
        <xdr:cNvGraphicFramePr/>
      </xdr:nvGraphicFramePr>
      <xdr:xfrm>
        <a:off x="7753320" y="2809800"/>
        <a:ext cx="6838560" cy="323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21</xdr:row>
      <xdr:rowOff>0</xdr:rowOff>
    </xdr:from>
    <xdr:to>
      <xdr:col>9</xdr:col>
      <xdr:colOff>1060920</xdr:colOff>
      <xdr:row>35</xdr:row>
      <xdr:rowOff>39960</xdr:rowOff>
    </xdr:to>
    <xdr:graphicFrame>
      <xdr:nvGraphicFramePr>
        <xdr:cNvPr id="1" name="Chart 2"/>
        <xdr:cNvGraphicFramePr/>
      </xdr:nvGraphicFramePr>
      <xdr:xfrm>
        <a:off x="7753320" y="5095800"/>
        <a:ext cx="3598560" cy="287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www.youtube.com/watch?v=h_0CXACXv9A" TargetMode="External"/><Relationship Id="rId2" Type="http://schemas.openxmlformats.org/officeDocument/2006/relationships/hyperlink" Target="https://roughdraftatlanta.com/2026/04/23/georgia-election-hand-marked-ballots/" TargetMode="External"/><Relationship Id="rId3" Type="http://schemas.openxmlformats.org/officeDocument/2006/relationships/hyperlink" Target="https://www.youtube.com/watch?v=Dhm09vDgB2s" TargetMode="External"/><Relationship Id="rId4" Type="http://schemas.openxmlformats.org/officeDocument/2006/relationships/hyperlink" Target="https://savannahagenda.com/georgia-faces-election-uncertainty-as-qr-code-ban-takes-effect-july-1/" TargetMode="External"/><Relationship Id="rId5" Type="http://schemas.openxmlformats.org/officeDocument/2006/relationships/hyperlink" Target="https://www.youtube.com/watch?v=cRXUHSQKirY" TargetMode="External"/><Relationship Id="rId6" Type="http://schemas.openxmlformats.org/officeDocument/2006/relationships/hyperlink" Target="https://www.youtube.com/watch?v=bRsm4TxrbtE" TargetMode="External"/><Relationship Id="rId7" Type="http://schemas.openxmlformats.org/officeDocument/2006/relationships/hyperlink" Target="https://www.youtube.com/watch?v=cnVxUhUqn8s" TargetMode="External"/><Relationship Id="rId8" Type="http://schemas.openxmlformats.org/officeDocument/2006/relationships/hyperlink" Target="https://www.youtube.com/watch?v=NRVp2W_p3Cg" TargetMode="External"/><Relationship Id="rId9" Type="http://schemas.openxmlformats.org/officeDocument/2006/relationships/hyperlink" Target="https://thirdact.org/georgia/2026/01/23/state-elections-board-meeting-on-jan-21-2026/" TargetMode="External"/><Relationship Id="rId10" Type="http://schemas.openxmlformats.org/officeDocument/2006/relationships/hyperlink" Target="https://www.youtube.com/watch?v=AK_JF-Eh4gc" TargetMode="External"/><Relationship Id="rId11" Type="http://schemas.openxmlformats.org/officeDocument/2006/relationships/hyperlink" Target="https://www.youtube.com/watch?v=YVjADGn9w24" TargetMode="External"/><Relationship Id="rId12" Type="http://schemas.openxmlformats.org/officeDocument/2006/relationships/hyperlink" Target="https://www.youtube.com/watch?v=wiiDksnKykQ" TargetMode="External"/><Relationship Id="rId13" Type="http://schemas.openxmlformats.org/officeDocument/2006/relationships/hyperlink" Target="https://www.youtube.com/watch?v=KTs7p6D5gck" TargetMode="External"/><Relationship Id="rId14" Type="http://schemas.openxmlformats.org/officeDocument/2006/relationships/hyperlink" Target="https://www.youtube.com/watch?v=sQO-e7shcxw" TargetMode="External"/><Relationship Id="rId15" Type="http://schemas.openxmlformats.org/officeDocument/2006/relationships/hyperlink" Target="https://www.youtube.com/watch?v=1rFFlnubk-I" TargetMode="External"/><Relationship Id="rId16" Type="http://schemas.openxmlformats.org/officeDocument/2006/relationships/hyperlink" Target="https://www.youtube.com/watch?v=1NPzo52nzJo" TargetMode="External"/><Relationship Id="rId17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www.fox5atlanta.com/news/georgia-election-board-meeting-fb-raid-fallout" TargetMode="External"/><Relationship Id="rId2" Type="http://schemas.openxmlformats.org/officeDocument/2006/relationships/hyperlink" Target="https://americanoversight.org/american-oversight-demands-georgia-election-board-members-address-court-filing-made-without-public-process/" TargetMode="External"/><Relationship Id="rId3" Type="http://schemas.openxmlformats.org/officeDocument/2006/relationships/hyperlink" Target="https://www.aclu.org/press-releases/georgia-supreme-court-upholds-block-on-hand-counting-rule-in-major-win-for-voters" TargetMode="External"/><Relationship Id="rId4" Type="http://schemas.openxmlformats.org/officeDocument/2006/relationships/hyperlink" Target="https://americanoversight.org/american-oversight-wins-appeal-in-open-meetings-act-lawsuit-against-georgia-state-election-board/" TargetMode="External"/><Relationship Id="rId5" Type="http://schemas.openxmlformats.org/officeDocument/2006/relationships/hyperlink" Target="https://capitol-beat.org/2026/04/georgia-elections-bill-fails-which-could-lead-to-quick-switch-to-hand-marked-ballots/" TargetMode="External"/><Relationship Id="rId6" Type="http://schemas.openxmlformats.org/officeDocument/2006/relationships/hyperlink" Target="https://thirdact.org/georgia/2026/01/23/state-elections-board-meeting-on-jan-21-2026/" TargetMode="External"/><Relationship Id="rId7" Type="http://schemas.openxmlformats.org/officeDocument/2006/relationships/hyperlink" Target="https://thirdact.org/georgia/2026/01/23/state-elections-board-meeting-on-jan-21-2026/" TargetMode="External"/><Relationship Id="rId8" Type="http://schemas.openxmlformats.org/officeDocument/2006/relationships/hyperlink" Target="https://americanoversight.org/american-oversight-demands-georgia-election-board-members-address-court-filing-made-without-public-process/" TargetMode="External"/><Relationship Id="rId9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www.youtube.com/@georgiastateelectionboard" TargetMode="External"/><Relationship Id="rId2" Type="http://schemas.openxmlformats.org/officeDocument/2006/relationships/hyperlink" Target="https://sos.ga.gov/state-election-board" TargetMode="External"/><Relationship Id="rId3" Type="http://schemas.openxmlformats.org/officeDocument/2006/relationships/hyperlink" Target="https://americanoversight.org/" TargetMode="External"/><Relationship Id="rId4" Type="http://schemas.openxmlformats.org/officeDocument/2006/relationships/hyperlink" Target="https://www.democracydocket.com/cases/georgia-state-election-board-meeting-challenge/" TargetMode="External"/><Relationship Id="rId5" Type="http://schemas.openxmlformats.org/officeDocument/2006/relationships/hyperlink" Target="https://www.aclu.org/press-releases/georgia-supreme-court-upholds-block-on-hand-counting-rule-in-major-win-for-voters" TargetMode="External"/><Relationship Id="rId6" Type="http://schemas.openxmlformats.org/officeDocument/2006/relationships/hyperlink" Target="https://www.lawyerscommittee.org/court-blocks-georgias-new-hand-counting-rule-in-victory-for-voters/" TargetMode="External"/><Relationship Id="rId7" Type="http://schemas.openxmlformats.org/officeDocument/2006/relationships/hyperlink" Target="https://thirdact.org/georgia/2026/01/23/state-elections-board-meeting-on-jan-21-2026/" TargetMode="External"/><Relationship Id="rId8" Type="http://schemas.openxmlformats.org/officeDocument/2006/relationships/hyperlink" Target="https://www.fox5atlanta.com/news/georgia-election-board-meeting-fb-raid-fallout" TargetMode="External"/><Relationship Id="rId9" Type="http://schemas.openxmlformats.org/officeDocument/2006/relationships/hyperlink" Target="https://abcnews.com/Politics/fbi-conducting-court-ordered-activity-georgia-election-site/story?id=129644345" TargetMode="External"/><Relationship Id="rId10" Type="http://schemas.openxmlformats.org/officeDocument/2006/relationships/hyperlink" Target="https://www.pbs.org/newshour/show/fbi-documents-show-what-led-to-raid-of-georgia-elections-office" TargetMode="External"/><Relationship Id="rId11" Type="http://schemas.openxmlformats.org/officeDocument/2006/relationships/hyperlink" Target="https://roughdraftatlanta.com/2026/04/23/georgia-election-hand-marked-ballots/" TargetMode="External"/><Relationship Id="rId12" Type="http://schemas.openxmlformats.org/officeDocument/2006/relationships/hyperlink" Target="https://savannahagenda.com/georgia-faces-election-uncertainty-as-qr-code-ban-takes-effect-july-1/" TargetMode="External"/><Relationship Id="rId13" Type="http://schemas.openxmlformats.org/officeDocument/2006/relationships/hyperlink" Target="https://capitol-beat.org/2026/04/georgia-elections-bill-fails-which-could-lead-to-quick-switch-to-hand-marked-ballots/" TargetMode="External"/><Relationship Id="rId14" Type="http://schemas.openxmlformats.org/officeDocument/2006/relationships/hyperlink" Target="https://law.justia.com/codes/georgia/title-50/chapter-14/" TargetMode="External"/><Relationship Id="rId15" Type="http://schemas.openxmlformats.org/officeDocument/2006/relationships/hyperlink" Target="https://sos.ga.gov/sites/default/files/2026-05/agenda_-_seb_special_called_meeting_-_may_14_2026.pdf" TargetMode="External"/><Relationship Id="rId16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1696F"/>
    <pageSetUpPr fitToPage="false"/>
  </sheetPr>
  <dimension ref="B1:N39"/>
  <sheetViews>
    <sheetView showFormulas="false" showGridLines="fals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"/>
    <col collapsed="false" customWidth="true" hidden="false" outlineLevel="0" max="14" min="2" style="1" width="18"/>
  </cols>
  <sheetData>
    <row r="1" customFormat="false" ht="7.5" hidden="false" customHeight="true" outlineLevel="0" collapsed="false"/>
    <row r="2" customFormat="false" ht="36" hidden="false" customHeight="true" outlineLevel="0" collapsed="false"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21.75" hidden="false" customHeight="true" outlineLevel="0" collapsed="false">
      <c r="B3" s="3" t="s">
        <v>1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5" customFormat="false" ht="36" hidden="false" customHeight="true" outlineLevel="0" collapsed="false">
      <c r="B5" s="4" t="s">
        <v>2</v>
      </c>
      <c r="C5" s="4"/>
      <c r="D5" s="4"/>
      <c r="E5" s="5" t="s">
        <v>3</v>
      </c>
      <c r="F5" s="5"/>
      <c r="G5" s="5"/>
      <c r="H5" s="6" t="s">
        <v>4</v>
      </c>
      <c r="I5" s="6"/>
      <c r="J5" s="6"/>
      <c r="K5" s="7" t="s">
        <v>5</v>
      </c>
      <c r="L5" s="7"/>
      <c r="M5" s="7"/>
    </row>
    <row r="6" customFormat="false" ht="49.5" hidden="false" customHeight="true" outlineLevel="0" collapsed="false">
      <c r="B6" s="8" t="n">
        <f aca="false">COUNTA(Meetings!B6:B100)</f>
        <v>17</v>
      </c>
      <c r="C6" s="8"/>
      <c r="D6" s="8"/>
      <c r="E6" s="9" t="n">
        <f aca="false">COUNTIF(Meetings!E6:E100,"*Special*")</f>
        <v>3</v>
      </c>
      <c r="F6" s="9"/>
      <c r="G6" s="9"/>
      <c r="H6" s="10" t="n">
        <f aca="false">COUNTIFS(Meetings!N6:N100,"&lt;&gt;Compliant",Meetings!N6:N100,"&lt;&gt;")</f>
        <v>1</v>
      </c>
      <c r="I6" s="10"/>
      <c r="J6" s="10"/>
      <c r="K6" s="11" t="n">
        <f aca="false">COUNTIF(Controversies!E6:E100,"Active")</f>
        <v>6</v>
      </c>
      <c r="L6" s="11"/>
      <c r="M6" s="11"/>
    </row>
    <row r="8" customFormat="false" ht="25.5" hidden="false" customHeight="true" outlineLevel="0" collapsed="false">
      <c r="B8" s="12" t="s">
        <v>6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</row>
    <row r="10" customFormat="false" ht="15" hidden="false" customHeight="true" outlineLevel="0" collapsed="false">
      <c r="B10" s="13" t="s">
        <v>7</v>
      </c>
      <c r="C10" s="13" t="s">
        <v>8</v>
      </c>
      <c r="E10" s="13" t="s">
        <v>9</v>
      </c>
      <c r="F10" s="13" t="s">
        <v>10</v>
      </c>
    </row>
    <row r="11" customFormat="false" ht="15" hidden="false" customHeight="true" outlineLevel="0" collapsed="false">
      <c r="B11" s="14" t="s">
        <v>11</v>
      </c>
      <c r="C11" s="15" t="n">
        <f aca="false">SUMPRODUCT((YEAR(Meetings!C6:C100)=2025)*(MONTH(Meetings!C6:C100)=1))</f>
        <v>0</v>
      </c>
      <c r="E11" s="14" t="s">
        <v>12</v>
      </c>
      <c r="F11" s="15" t="n">
        <f aca="false">COUNTIF(Meetings!N6:N100,"Compliant")</f>
        <v>16</v>
      </c>
    </row>
    <row r="12" customFormat="false" ht="15" hidden="false" customHeight="true" outlineLevel="0" collapsed="false">
      <c r="B12" s="14" t="s">
        <v>13</v>
      </c>
      <c r="C12" s="15" t="n">
        <f aca="false">SUMPRODUCT((YEAR(Meetings!C6:C100)=2025)*(MONTH(Meetings!C6:C100)=2))</f>
        <v>1</v>
      </c>
      <c r="E12" s="14" t="s">
        <v>14</v>
      </c>
      <c r="F12" s="15" t="n">
        <f aca="false">COUNTIF(Meetings!N6:N100,"Notice Concerns")</f>
        <v>1</v>
      </c>
    </row>
    <row r="13" customFormat="false" ht="15" hidden="false" customHeight="true" outlineLevel="0" collapsed="false">
      <c r="B13" s="14" t="s">
        <v>15</v>
      </c>
      <c r="C13" s="15" t="n">
        <f aca="false">SUMPRODUCT((YEAR(Meetings!C6:C100)=2025)*(MONTH(Meetings!C6:C100)=3))</f>
        <v>0</v>
      </c>
      <c r="E13" s="14" t="s">
        <v>16</v>
      </c>
      <c r="F13" s="15" t="n">
        <f aca="false">COUNTIFS(Meetings!N6:N100,"&lt;&gt;Compliant",Meetings!N6:N100,"&lt;&gt;Notice Concerns",Meetings!N6:N100,"&lt;&gt;")</f>
        <v>0</v>
      </c>
    </row>
    <row r="14" customFormat="false" ht="15" hidden="false" customHeight="true" outlineLevel="0" collapsed="false">
      <c r="B14" s="14" t="s">
        <v>17</v>
      </c>
      <c r="C14" s="15" t="n">
        <f aca="false">SUMPRODUCT((YEAR(Meetings!C6:C100)=2025)*(MONTH(Meetings!C6:C100)=4))</f>
        <v>0</v>
      </c>
    </row>
    <row r="15" customFormat="false" ht="15" hidden="false" customHeight="true" outlineLevel="0" collapsed="false">
      <c r="B15" s="14" t="s">
        <v>18</v>
      </c>
      <c r="C15" s="15" t="n">
        <f aca="false">SUMPRODUCT((YEAR(Meetings!C6:C100)=2025)*(MONTH(Meetings!C6:C100)=5))</f>
        <v>2</v>
      </c>
    </row>
    <row r="16" customFormat="false" ht="15" hidden="false" customHeight="true" outlineLevel="0" collapsed="false">
      <c r="B16" s="14" t="s">
        <v>19</v>
      </c>
      <c r="C16" s="15" t="n">
        <f aca="false">SUMPRODUCT((YEAR(Meetings!C6:C100)=2025)*(MONTH(Meetings!C6:C100)=6))</f>
        <v>0</v>
      </c>
    </row>
    <row r="17" customFormat="false" ht="15" hidden="false" customHeight="true" outlineLevel="0" collapsed="false">
      <c r="B17" s="14" t="s">
        <v>20</v>
      </c>
      <c r="C17" s="15" t="n">
        <f aca="false">SUMPRODUCT((YEAR(Meetings!C6:C100)=2025)*(MONTH(Meetings!C6:C100)=7))</f>
        <v>1</v>
      </c>
    </row>
    <row r="18" customFormat="false" ht="15" hidden="false" customHeight="true" outlineLevel="0" collapsed="false">
      <c r="B18" s="14" t="s">
        <v>21</v>
      </c>
      <c r="C18" s="15" t="n">
        <f aca="false">SUMPRODUCT((YEAR(Meetings!C6:C100)=2025)*(MONTH(Meetings!C6:C100)=8))</f>
        <v>0</v>
      </c>
    </row>
    <row r="19" customFormat="false" ht="15" hidden="false" customHeight="true" outlineLevel="0" collapsed="false">
      <c r="B19" s="14" t="s">
        <v>22</v>
      </c>
      <c r="C19" s="15" t="n">
        <f aca="false">SUMPRODUCT((YEAR(Meetings!C6:C100)=2025)*(MONTH(Meetings!C6:C100)=9))</f>
        <v>1</v>
      </c>
    </row>
    <row r="20" customFormat="false" ht="15" hidden="false" customHeight="true" outlineLevel="0" collapsed="false">
      <c r="B20" s="14" t="s">
        <v>23</v>
      </c>
      <c r="C20" s="15" t="n">
        <f aca="false">SUMPRODUCT((YEAR(Meetings!C6:C100)=2025)*(MONTH(Meetings!C6:C100)=10))</f>
        <v>1</v>
      </c>
    </row>
    <row r="21" customFormat="false" ht="15" hidden="false" customHeight="true" outlineLevel="0" collapsed="false">
      <c r="B21" s="14" t="s">
        <v>24</v>
      </c>
      <c r="C21" s="15" t="n">
        <f aca="false">SUMPRODUCT((YEAR(Meetings!C6:C100)=2025)*(MONTH(Meetings!C6:C100)=11))</f>
        <v>2</v>
      </c>
    </row>
    <row r="22" customFormat="false" ht="15" hidden="false" customHeight="true" outlineLevel="0" collapsed="false">
      <c r="B22" s="14" t="s">
        <v>25</v>
      </c>
      <c r="C22" s="15" t="n">
        <f aca="false">SUMPRODUCT((YEAR(Meetings!C6:C100)=2025)*(MONTH(Meetings!C6:C100)=12))</f>
        <v>2</v>
      </c>
    </row>
    <row r="23" customFormat="false" ht="15" hidden="false" customHeight="true" outlineLevel="0" collapsed="false">
      <c r="B23" s="14" t="s">
        <v>26</v>
      </c>
      <c r="C23" s="15" t="n">
        <f aca="false">SUMPRODUCT((YEAR(Meetings!C6:C100)=2026)*(MONTH(Meetings!C6:C100)=1))</f>
        <v>1</v>
      </c>
    </row>
    <row r="24" customFormat="false" ht="15" hidden="false" customHeight="true" outlineLevel="0" collapsed="false">
      <c r="B24" s="14" t="s">
        <v>27</v>
      </c>
      <c r="C24" s="15" t="n">
        <f aca="false">SUMPRODUCT((YEAR(Meetings!C6:C100)=2026)*(MONTH(Meetings!C6:C100)=2))</f>
        <v>2</v>
      </c>
    </row>
    <row r="25" customFormat="false" ht="15" hidden="false" customHeight="true" outlineLevel="0" collapsed="false">
      <c r="B25" s="14" t="s">
        <v>28</v>
      </c>
      <c r="C25" s="15" t="n">
        <f aca="false">SUMPRODUCT((YEAR(Meetings!C6:C100)=2026)*(MONTH(Meetings!C6:C100)=3))</f>
        <v>1</v>
      </c>
    </row>
    <row r="26" customFormat="false" ht="15" hidden="false" customHeight="true" outlineLevel="0" collapsed="false">
      <c r="B26" s="14" t="s">
        <v>29</v>
      </c>
      <c r="C26" s="15" t="n">
        <f aca="false">SUMPRODUCT((YEAR(Meetings!C6:C100)=2026)*(MONTH(Meetings!C6:C100)=4))</f>
        <v>2</v>
      </c>
    </row>
    <row r="27" customFormat="false" ht="15" hidden="false" customHeight="false" outlineLevel="0" collapsed="false">
      <c r="B27" s="14" t="s">
        <v>30</v>
      </c>
      <c r="C27" s="15" t="n">
        <f aca="false">SUMPRODUCT((YEAR(Meetings!C6:C100)=2026)*(MONTH(Meetings!C6:C100)=5))</f>
        <v>1</v>
      </c>
    </row>
    <row r="34" customFormat="false" ht="21.75" hidden="false" customHeight="true" outlineLevel="0" collapsed="false">
      <c r="B34" s="12" t="s">
        <v>31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</row>
    <row r="35" customFormat="false" ht="21.75" hidden="false" customHeight="true" outlineLevel="0" collapsed="false">
      <c r="B35" s="16" t="s">
        <v>32</v>
      </c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</row>
    <row r="36" customFormat="false" ht="21.75" hidden="false" customHeight="true" outlineLevel="0" collapsed="false">
      <c r="B36" s="16" t="s">
        <v>33</v>
      </c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</row>
    <row r="37" customFormat="false" ht="21.75" hidden="false" customHeight="true" outlineLevel="0" collapsed="false">
      <c r="B37" s="16" t="s">
        <v>34</v>
      </c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</row>
    <row r="38" customFormat="false" ht="21.75" hidden="false" customHeight="true" outlineLevel="0" collapsed="false">
      <c r="B38" s="16" t="s">
        <v>35</v>
      </c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</row>
    <row r="39" customFormat="false" ht="21.75" hidden="false" customHeight="true" outlineLevel="0" collapsed="false">
      <c r="B39" s="16" t="s">
        <v>36</v>
      </c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</row>
  </sheetData>
  <mergeCells count="17">
    <mergeCell ref="B2:N2"/>
    <mergeCell ref="B3:N3"/>
    <mergeCell ref="B5:D5"/>
    <mergeCell ref="E5:G5"/>
    <mergeCell ref="H5:J5"/>
    <mergeCell ref="K5:M5"/>
    <mergeCell ref="B6:D6"/>
    <mergeCell ref="E6:G6"/>
    <mergeCell ref="H6:J6"/>
    <mergeCell ref="K6:M6"/>
    <mergeCell ref="B8:N8"/>
    <mergeCell ref="B34:N34"/>
    <mergeCell ref="B35:N35"/>
    <mergeCell ref="B36:N36"/>
    <mergeCell ref="B37:N37"/>
    <mergeCell ref="B38:N38"/>
    <mergeCell ref="B39:N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0808D"/>
    <pageSetUpPr fitToPage="false"/>
  </sheetPr>
  <dimension ref="B1:Q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4"/>
    <col collapsed="false" customWidth="true" hidden="false" outlineLevel="0" max="3" min="3" style="1" width="12"/>
    <col collapsed="false" customWidth="true" hidden="false" outlineLevel="0" max="4" min="4" style="1" width="6"/>
    <col collapsed="false" customWidth="true" hidden="false" outlineLevel="0" max="5" min="5" style="1" width="18"/>
    <col collapsed="false" customWidth="true" hidden="false" outlineLevel="0" max="6" min="6" style="1" width="20"/>
    <col collapsed="false" customWidth="true" hidden="false" outlineLevel="0" max="7" min="7" style="1" width="22"/>
    <col collapsed="false" customWidth="true" hidden="false" outlineLevel="0" max="8" min="8" style="1" width="28"/>
    <col collapsed="false" customWidth="true" hidden="false" outlineLevel="0" max="9" min="9" style="1" width="10"/>
    <col collapsed="false" customWidth="true" hidden="false" outlineLevel="0" max="11" min="10" style="1" width="48"/>
    <col collapsed="false" customWidth="true" hidden="false" outlineLevel="0" max="13" min="12" style="1" width="22"/>
    <col collapsed="false" customWidth="true" hidden="false" outlineLevel="0" max="14" min="14" style="1" width="18"/>
    <col collapsed="false" customWidth="true" hidden="false" outlineLevel="0" max="15" min="15" style="1" width="36"/>
    <col collapsed="false" customWidth="true" hidden="false" outlineLevel="0" max="16" min="16" style="1" width="40"/>
    <col collapsed="false" customWidth="true" hidden="false" outlineLevel="0" max="17" min="17" style="1" width="8"/>
  </cols>
  <sheetData>
    <row r="1" customFormat="false" ht="7.5" hidden="false" customHeight="true" outlineLevel="0" collapsed="false"/>
    <row r="2" customFormat="false" ht="30" hidden="false" customHeight="true" outlineLevel="0" collapsed="false">
      <c r="B2" s="17" t="s">
        <v>37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</row>
    <row r="3" customFormat="false" ht="6" hidden="false" customHeight="true" outlineLevel="0" collapsed="false"/>
    <row r="5" customFormat="false" ht="31.5" hidden="false" customHeight="true" outlineLevel="0" collapsed="false">
      <c r="B5" s="18" t="s">
        <v>38</v>
      </c>
      <c r="C5" s="18" t="s">
        <v>39</v>
      </c>
      <c r="D5" s="18" t="s">
        <v>40</v>
      </c>
      <c r="E5" s="18" t="s">
        <v>41</v>
      </c>
      <c r="F5" s="18" t="s">
        <v>42</v>
      </c>
      <c r="G5" s="18" t="s">
        <v>43</v>
      </c>
      <c r="H5" s="18" t="s">
        <v>44</v>
      </c>
      <c r="I5" s="18" t="s">
        <v>45</v>
      </c>
      <c r="J5" s="18" t="s">
        <v>46</v>
      </c>
      <c r="K5" s="18" t="s">
        <v>47</v>
      </c>
      <c r="L5" s="18" t="s">
        <v>48</v>
      </c>
      <c r="M5" s="18" t="s">
        <v>49</v>
      </c>
      <c r="N5" s="18" t="s">
        <v>50</v>
      </c>
      <c r="O5" s="18" t="s">
        <v>51</v>
      </c>
      <c r="P5" s="18" t="s">
        <v>52</v>
      </c>
      <c r="Q5" s="18" t="s">
        <v>53</v>
      </c>
    </row>
    <row r="6" customFormat="false" ht="90" hidden="false" customHeight="true" outlineLevel="0" collapsed="false">
      <c r="B6" s="19" t="n">
        <v>1</v>
      </c>
      <c r="C6" s="20" t="n">
        <v>46156</v>
      </c>
      <c r="D6" s="19" t="s">
        <v>54</v>
      </c>
      <c r="E6" s="21" t="s">
        <v>55</v>
      </c>
      <c r="F6" s="21" t="s">
        <v>56</v>
      </c>
      <c r="G6" s="21" t="s">
        <v>57</v>
      </c>
      <c r="H6" s="21" t="s">
        <v>58</v>
      </c>
      <c r="I6" s="19" t="s">
        <v>59</v>
      </c>
      <c r="J6" s="21" t="s">
        <v>60</v>
      </c>
      <c r="K6" s="21" t="s">
        <v>61</v>
      </c>
      <c r="L6" s="22" t="s">
        <v>62</v>
      </c>
      <c r="M6" s="22" t="s">
        <v>63</v>
      </c>
      <c r="N6" s="21" t="s">
        <v>12</v>
      </c>
      <c r="O6" s="21" t="s">
        <v>64</v>
      </c>
      <c r="P6" s="21" t="s">
        <v>65</v>
      </c>
      <c r="Q6" s="23"/>
    </row>
    <row r="7" customFormat="false" ht="90" hidden="false" customHeight="true" outlineLevel="0" collapsed="false">
      <c r="B7" s="19" t="n">
        <v>2</v>
      </c>
      <c r="C7" s="20" t="n">
        <v>46134</v>
      </c>
      <c r="D7" s="19" t="s">
        <v>66</v>
      </c>
      <c r="E7" s="21" t="s">
        <v>55</v>
      </c>
      <c r="F7" s="21" t="s">
        <v>56</v>
      </c>
      <c r="G7" s="21" t="s">
        <v>67</v>
      </c>
      <c r="H7" s="21" t="s">
        <v>68</v>
      </c>
      <c r="I7" s="19" t="s">
        <v>69</v>
      </c>
      <c r="J7" s="21" t="s">
        <v>70</v>
      </c>
      <c r="K7" s="21" t="s">
        <v>71</v>
      </c>
      <c r="L7" s="22" t="s">
        <v>62</v>
      </c>
      <c r="M7" s="22" t="s">
        <v>63</v>
      </c>
      <c r="N7" s="21" t="s">
        <v>14</v>
      </c>
      <c r="O7" s="21" t="s">
        <v>72</v>
      </c>
      <c r="P7" s="21" t="s">
        <v>73</v>
      </c>
      <c r="Q7" s="23" t="n">
        <v>3.7</v>
      </c>
    </row>
    <row r="8" customFormat="false" ht="90" hidden="false" customHeight="true" outlineLevel="0" collapsed="false">
      <c r="B8" s="19" t="n">
        <v>3</v>
      </c>
      <c r="C8" s="20" t="n">
        <v>46127</v>
      </c>
      <c r="D8" s="19" t="s">
        <v>66</v>
      </c>
      <c r="E8" s="21" t="s">
        <v>74</v>
      </c>
      <c r="F8" s="21" t="s">
        <v>75</v>
      </c>
      <c r="G8" s="21" t="s">
        <v>67</v>
      </c>
      <c r="H8" s="21" t="s">
        <v>76</v>
      </c>
      <c r="I8" s="19" t="s">
        <v>69</v>
      </c>
      <c r="J8" s="21" t="s">
        <v>77</v>
      </c>
      <c r="K8" s="21" t="s">
        <v>78</v>
      </c>
      <c r="L8" s="22" t="s">
        <v>62</v>
      </c>
      <c r="M8" s="22" t="s">
        <v>63</v>
      </c>
      <c r="N8" s="21" t="s">
        <v>12</v>
      </c>
      <c r="O8" s="21" t="s">
        <v>79</v>
      </c>
      <c r="P8" s="21" t="s">
        <v>80</v>
      </c>
      <c r="Q8" s="23" t="n">
        <v>1.3</v>
      </c>
    </row>
    <row r="9" customFormat="false" ht="90" hidden="false" customHeight="true" outlineLevel="0" collapsed="false">
      <c r="B9" s="19" t="n">
        <v>4</v>
      </c>
      <c r="C9" s="20" t="n">
        <v>46099</v>
      </c>
      <c r="D9" s="19" t="s">
        <v>66</v>
      </c>
      <c r="E9" s="21" t="s">
        <v>74</v>
      </c>
      <c r="F9" s="21" t="s">
        <v>75</v>
      </c>
      <c r="G9" s="21" t="s">
        <v>67</v>
      </c>
      <c r="H9" s="21" t="s">
        <v>76</v>
      </c>
      <c r="I9" s="19" t="s">
        <v>69</v>
      </c>
      <c r="J9" s="21" t="s">
        <v>81</v>
      </c>
      <c r="K9" s="21" t="s">
        <v>82</v>
      </c>
      <c r="L9" s="22" t="s">
        <v>62</v>
      </c>
      <c r="M9" s="22" t="s">
        <v>63</v>
      </c>
      <c r="N9" s="21" t="s">
        <v>12</v>
      </c>
      <c r="O9" s="21" t="s">
        <v>83</v>
      </c>
      <c r="P9" s="21" t="s">
        <v>84</v>
      </c>
      <c r="Q9" s="23" t="n">
        <v>2</v>
      </c>
    </row>
    <row r="10" customFormat="false" ht="90" hidden="false" customHeight="true" outlineLevel="0" collapsed="false">
      <c r="B10" s="19" t="n">
        <v>5</v>
      </c>
      <c r="C10" s="20" t="n">
        <v>46072</v>
      </c>
      <c r="D10" s="19" t="s">
        <v>54</v>
      </c>
      <c r="E10" s="21" t="s">
        <v>85</v>
      </c>
      <c r="F10" s="21" t="s">
        <v>75</v>
      </c>
      <c r="G10" s="21" t="s">
        <v>67</v>
      </c>
      <c r="H10" s="21" t="s">
        <v>76</v>
      </c>
      <c r="I10" s="19" t="s">
        <v>69</v>
      </c>
      <c r="J10" s="21" t="s">
        <v>86</v>
      </c>
      <c r="K10" s="21" t="s">
        <v>87</v>
      </c>
      <c r="L10" s="22" t="s">
        <v>62</v>
      </c>
      <c r="M10" s="24"/>
      <c r="N10" s="21" t="s">
        <v>12</v>
      </c>
      <c r="O10" s="21" t="s">
        <v>88</v>
      </c>
      <c r="P10" s="21" t="s">
        <v>89</v>
      </c>
      <c r="Q10" s="23" t="n">
        <v>3.8</v>
      </c>
    </row>
    <row r="11" customFormat="false" ht="90" hidden="false" customHeight="true" outlineLevel="0" collapsed="false">
      <c r="B11" s="19" t="n">
        <v>6</v>
      </c>
      <c r="C11" s="20" t="n">
        <v>46071</v>
      </c>
      <c r="D11" s="19" t="s">
        <v>66</v>
      </c>
      <c r="E11" s="21" t="s">
        <v>90</v>
      </c>
      <c r="F11" s="21" t="s">
        <v>75</v>
      </c>
      <c r="G11" s="21" t="s">
        <v>67</v>
      </c>
      <c r="H11" s="21" t="s">
        <v>76</v>
      </c>
      <c r="I11" s="19" t="s">
        <v>69</v>
      </c>
      <c r="J11" s="21" t="s">
        <v>91</v>
      </c>
      <c r="K11" s="21" t="s">
        <v>92</v>
      </c>
      <c r="L11" s="22" t="s">
        <v>62</v>
      </c>
      <c r="M11" s="22" t="s">
        <v>63</v>
      </c>
      <c r="N11" s="21" t="s">
        <v>12</v>
      </c>
      <c r="O11" s="21" t="s">
        <v>93</v>
      </c>
      <c r="P11" s="21" t="s">
        <v>94</v>
      </c>
      <c r="Q11" s="23" t="n">
        <v>10.5</v>
      </c>
    </row>
    <row r="12" customFormat="false" ht="90" hidden="false" customHeight="true" outlineLevel="0" collapsed="false">
      <c r="B12" s="19" t="n">
        <v>7</v>
      </c>
      <c r="C12" s="20" t="n">
        <v>46043</v>
      </c>
      <c r="D12" s="19" t="s">
        <v>66</v>
      </c>
      <c r="E12" s="21" t="s">
        <v>74</v>
      </c>
      <c r="F12" s="21" t="s">
        <v>75</v>
      </c>
      <c r="G12" s="21" t="s">
        <v>67</v>
      </c>
      <c r="H12" s="21" t="s">
        <v>76</v>
      </c>
      <c r="I12" s="19" t="s">
        <v>69</v>
      </c>
      <c r="J12" s="21" t="s">
        <v>95</v>
      </c>
      <c r="K12" s="21" t="s">
        <v>96</v>
      </c>
      <c r="L12" s="24"/>
      <c r="M12" s="22" t="s">
        <v>63</v>
      </c>
      <c r="N12" s="21" t="s">
        <v>12</v>
      </c>
      <c r="O12" s="21" t="s">
        <v>97</v>
      </c>
      <c r="P12" s="21" t="s">
        <v>98</v>
      </c>
      <c r="Q12" s="23" t="n">
        <v>11</v>
      </c>
    </row>
    <row r="13" customFormat="false" ht="90" hidden="false" customHeight="true" outlineLevel="0" collapsed="false">
      <c r="B13" s="19" t="n">
        <v>8</v>
      </c>
      <c r="C13" s="20" t="n">
        <v>46001</v>
      </c>
      <c r="D13" s="19" t="s">
        <v>66</v>
      </c>
      <c r="E13" s="21" t="s">
        <v>85</v>
      </c>
      <c r="F13" s="21" t="s">
        <v>75</v>
      </c>
      <c r="G13" s="21" t="s">
        <v>57</v>
      </c>
      <c r="H13" s="21" t="s">
        <v>99</v>
      </c>
      <c r="I13" s="19" t="s">
        <v>100</v>
      </c>
      <c r="J13" s="21" t="s">
        <v>101</v>
      </c>
      <c r="K13" s="21" t="s">
        <v>102</v>
      </c>
      <c r="L13" s="22" t="s">
        <v>62</v>
      </c>
      <c r="M13" s="24"/>
      <c r="N13" s="21" t="s">
        <v>12</v>
      </c>
      <c r="O13" s="21" t="s">
        <v>103</v>
      </c>
      <c r="P13" s="21" t="s">
        <v>104</v>
      </c>
      <c r="Q13" s="23" t="n">
        <v>6.6</v>
      </c>
    </row>
    <row r="14" customFormat="false" ht="90" hidden="false" customHeight="true" outlineLevel="0" collapsed="false">
      <c r="B14" s="19" t="n">
        <v>9</v>
      </c>
      <c r="C14" s="20" t="n">
        <v>46000</v>
      </c>
      <c r="D14" s="19" t="s">
        <v>105</v>
      </c>
      <c r="E14" s="21" t="s">
        <v>90</v>
      </c>
      <c r="F14" s="21" t="s">
        <v>75</v>
      </c>
      <c r="G14" s="21" t="s">
        <v>57</v>
      </c>
      <c r="H14" s="21" t="s">
        <v>99</v>
      </c>
      <c r="I14" s="19" t="s">
        <v>100</v>
      </c>
      <c r="J14" s="21" t="s">
        <v>106</v>
      </c>
      <c r="K14" s="21" t="s">
        <v>107</v>
      </c>
      <c r="L14" s="22" t="s">
        <v>62</v>
      </c>
      <c r="M14" s="22" t="s">
        <v>63</v>
      </c>
      <c r="N14" s="21" t="s">
        <v>12</v>
      </c>
      <c r="O14" s="21" t="s">
        <v>108</v>
      </c>
      <c r="P14" s="21" t="s">
        <v>109</v>
      </c>
      <c r="Q14" s="23" t="n">
        <v>7</v>
      </c>
    </row>
    <row r="15" customFormat="false" ht="90" hidden="false" customHeight="true" outlineLevel="0" collapsed="false">
      <c r="B15" s="19" t="n">
        <v>10</v>
      </c>
      <c r="C15" s="20" t="n">
        <v>45974</v>
      </c>
      <c r="D15" s="19" t="s">
        <v>54</v>
      </c>
      <c r="E15" s="21" t="s">
        <v>55</v>
      </c>
      <c r="F15" s="21" t="s">
        <v>56</v>
      </c>
      <c r="G15" s="21" t="s">
        <v>67</v>
      </c>
      <c r="H15" s="21" t="s">
        <v>76</v>
      </c>
      <c r="I15" s="19" t="s">
        <v>69</v>
      </c>
      <c r="J15" s="21" t="s">
        <v>110</v>
      </c>
      <c r="K15" s="21" t="s">
        <v>111</v>
      </c>
      <c r="L15" s="22" t="s">
        <v>62</v>
      </c>
      <c r="M15" s="24"/>
      <c r="N15" s="21" t="s">
        <v>12</v>
      </c>
      <c r="O15" s="21" t="s">
        <v>112</v>
      </c>
      <c r="P15" s="21" t="s">
        <v>113</v>
      </c>
      <c r="Q15" s="23" t="n">
        <v>1.4</v>
      </c>
    </row>
    <row r="16" customFormat="false" ht="90" hidden="false" customHeight="true" outlineLevel="0" collapsed="false">
      <c r="B16" s="19" t="n">
        <v>11</v>
      </c>
      <c r="C16" s="20" t="n">
        <v>45973</v>
      </c>
      <c r="D16" s="19" t="s">
        <v>66</v>
      </c>
      <c r="E16" s="21" t="s">
        <v>74</v>
      </c>
      <c r="F16" s="21" t="s">
        <v>75</v>
      </c>
      <c r="G16" s="21" t="s">
        <v>67</v>
      </c>
      <c r="H16" s="21" t="s">
        <v>76</v>
      </c>
      <c r="I16" s="19" t="s">
        <v>69</v>
      </c>
      <c r="J16" s="21" t="s">
        <v>114</v>
      </c>
      <c r="K16" s="21" t="s">
        <v>115</v>
      </c>
      <c r="L16" s="22" t="s">
        <v>62</v>
      </c>
      <c r="M16" s="24"/>
      <c r="N16" s="21" t="s">
        <v>12</v>
      </c>
      <c r="O16" s="21" t="s">
        <v>116</v>
      </c>
      <c r="P16" s="21"/>
      <c r="Q16" s="23" t="n">
        <v>4</v>
      </c>
    </row>
    <row r="17" customFormat="false" ht="90" hidden="false" customHeight="true" outlineLevel="0" collapsed="false">
      <c r="B17" s="19" t="n">
        <v>12</v>
      </c>
      <c r="C17" s="20" t="n">
        <v>45952</v>
      </c>
      <c r="D17" s="19" t="s">
        <v>66</v>
      </c>
      <c r="E17" s="21" t="s">
        <v>74</v>
      </c>
      <c r="F17" s="21" t="s">
        <v>75</v>
      </c>
      <c r="G17" s="21" t="s">
        <v>67</v>
      </c>
      <c r="H17" s="21" t="s">
        <v>76</v>
      </c>
      <c r="I17" s="19" t="s">
        <v>69</v>
      </c>
      <c r="J17" s="21" t="s">
        <v>117</v>
      </c>
      <c r="K17" s="21" t="s">
        <v>118</v>
      </c>
      <c r="L17" s="22" t="s">
        <v>62</v>
      </c>
      <c r="M17" s="24"/>
      <c r="N17" s="21" t="s">
        <v>12</v>
      </c>
      <c r="O17" s="21" t="s">
        <v>119</v>
      </c>
      <c r="P17" s="21" t="s">
        <v>120</v>
      </c>
      <c r="Q17" s="23" t="n">
        <v>5</v>
      </c>
    </row>
    <row r="18" customFormat="false" ht="90" hidden="false" customHeight="true" outlineLevel="0" collapsed="false">
      <c r="B18" s="19" t="n">
        <v>13</v>
      </c>
      <c r="C18" s="20" t="n">
        <v>45923</v>
      </c>
      <c r="D18" s="19" t="s">
        <v>105</v>
      </c>
      <c r="E18" s="21" t="s">
        <v>74</v>
      </c>
      <c r="F18" s="21" t="s">
        <v>75</v>
      </c>
      <c r="G18" s="21" t="s">
        <v>67</v>
      </c>
      <c r="H18" s="21" t="s">
        <v>76</v>
      </c>
      <c r="I18" s="19" t="s">
        <v>69</v>
      </c>
      <c r="J18" s="21" t="s">
        <v>121</v>
      </c>
      <c r="K18" s="21" t="s">
        <v>122</v>
      </c>
      <c r="L18" s="22" t="s">
        <v>62</v>
      </c>
      <c r="M18" s="24"/>
      <c r="N18" s="21" t="s">
        <v>12</v>
      </c>
      <c r="O18" s="21" t="s">
        <v>123</v>
      </c>
      <c r="P18" s="21"/>
      <c r="Q18" s="23" t="n">
        <v>5</v>
      </c>
    </row>
    <row r="19" customFormat="false" ht="90" hidden="false" customHeight="true" outlineLevel="0" collapsed="false">
      <c r="B19" s="19" t="n">
        <v>14</v>
      </c>
      <c r="C19" s="20" t="n">
        <v>45867</v>
      </c>
      <c r="D19" s="19" t="s">
        <v>105</v>
      </c>
      <c r="E19" s="21" t="s">
        <v>74</v>
      </c>
      <c r="F19" s="21" t="s">
        <v>75</v>
      </c>
      <c r="G19" s="21" t="s">
        <v>67</v>
      </c>
      <c r="H19" s="21" t="s">
        <v>76</v>
      </c>
      <c r="I19" s="19" t="s">
        <v>69</v>
      </c>
      <c r="J19" s="21" t="s">
        <v>124</v>
      </c>
      <c r="K19" s="21" t="s">
        <v>125</v>
      </c>
      <c r="L19" s="22" t="s">
        <v>62</v>
      </c>
      <c r="M19" s="24"/>
      <c r="N19" s="21" t="s">
        <v>12</v>
      </c>
      <c r="O19" s="21" t="s">
        <v>126</v>
      </c>
      <c r="P19" s="21"/>
      <c r="Q19" s="23" t="n">
        <v>6.2</v>
      </c>
    </row>
    <row r="20" customFormat="false" ht="90" hidden="false" customHeight="true" outlineLevel="0" collapsed="false">
      <c r="B20" s="19" t="n">
        <v>15</v>
      </c>
      <c r="C20" s="20" t="n">
        <v>45791</v>
      </c>
      <c r="D20" s="19" t="s">
        <v>66</v>
      </c>
      <c r="E20" s="21" t="s">
        <v>85</v>
      </c>
      <c r="F20" s="21" t="s">
        <v>75</v>
      </c>
      <c r="G20" s="21" t="s">
        <v>67</v>
      </c>
      <c r="H20" s="21" t="s">
        <v>127</v>
      </c>
      <c r="I20" s="19" t="s">
        <v>69</v>
      </c>
      <c r="J20" s="21" t="s">
        <v>128</v>
      </c>
      <c r="K20" s="21" t="s">
        <v>129</v>
      </c>
      <c r="L20" s="22" t="s">
        <v>62</v>
      </c>
      <c r="M20" s="24"/>
      <c r="N20" s="21" t="s">
        <v>12</v>
      </c>
      <c r="O20" s="21" t="s">
        <v>130</v>
      </c>
      <c r="P20" s="21" t="s">
        <v>131</v>
      </c>
      <c r="Q20" s="23" t="n">
        <v>5.7</v>
      </c>
    </row>
    <row r="21" customFormat="false" ht="90" hidden="false" customHeight="true" outlineLevel="0" collapsed="false">
      <c r="B21" s="19" t="n">
        <v>16</v>
      </c>
      <c r="C21" s="20" t="n">
        <v>45790</v>
      </c>
      <c r="D21" s="19" t="s">
        <v>105</v>
      </c>
      <c r="E21" s="21" t="s">
        <v>90</v>
      </c>
      <c r="F21" s="21" t="s">
        <v>75</v>
      </c>
      <c r="G21" s="21" t="s">
        <v>67</v>
      </c>
      <c r="H21" s="21" t="s">
        <v>127</v>
      </c>
      <c r="I21" s="19" t="s">
        <v>69</v>
      </c>
      <c r="J21" s="21" t="s">
        <v>132</v>
      </c>
      <c r="K21" s="21" t="s">
        <v>133</v>
      </c>
      <c r="L21" s="24"/>
      <c r="M21" s="24"/>
      <c r="N21" s="21" t="s">
        <v>12</v>
      </c>
      <c r="O21" s="21" t="s">
        <v>134</v>
      </c>
      <c r="P21" s="21"/>
      <c r="Q21" s="23" t="n">
        <v>5</v>
      </c>
    </row>
    <row r="22" customFormat="false" ht="23.25" hidden="false" customHeight="true" outlineLevel="0" collapsed="false">
      <c r="B22" s="19" t="n">
        <v>17</v>
      </c>
      <c r="C22" s="20" t="n">
        <v>45713</v>
      </c>
      <c r="D22" s="19" t="s">
        <v>105</v>
      </c>
      <c r="E22" s="21" t="s">
        <v>74</v>
      </c>
      <c r="F22" s="21" t="s">
        <v>135</v>
      </c>
      <c r="G22" s="21" t="s">
        <v>67</v>
      </c>
      <c r="H22" s="21" t="s">
        <v>136</v>
      </c>
      <c r="I22" s="19" t="s">
        <v>69</v>
      </c>
      <c r="J22" s="21" t="s">
        <v>137</v>
      </c>
      <c r="K22" s="21" t="s">
        <v>138</v>
      </c>
      <c r="L22" s="22" t="s">
        <v>62</v>
      </c>
      <c r="M22" s="24"/>
      <c r="N22" s="21" t="s">
        <v>12</v>
      </c>
      <c r="O22" s="21" t="s">
        <v>139</v>
      </c>
      <c r="P22" s="21"/>
      <c r="Q22" s="23" t="n">
        <v>7.8</v>
      </c>
    </row>
  </sheetData>
  <autoFilter ref="B5:Q21"/>
  <mergeCells count="1">
    <mergeCell ref="B2:Q2"/>
  </mergeCells>
  <conditionalFormatting sqref="N6:N21">
    <cfRule type="cellIs" priority="2" operator="equal" aboveAverage="0" equalAverage="0" bottom="0" percent="0" rank="0" text="" dxfId="11">
      <formula>"Compliant"</formula>
    </cfRule>
    <cfRule type="cellIs" priority="3" operator="equal" aboveAverage="0" equalAverage="0" bottom="0" percent="0" rank="0" text="" dxfId="12">
      <formula>"Notice Concerns"</formula>
    </cfRule>
  </conditionalFormatting>
  <conditionalFormatting sqref="P6:P21">
    <cfRule type="expression" priority="4" aboveAverage="0" equalAverage="0" bottom="0" percent="0" rank="0" text="" dxfId="13">
      <formula>LEN(P6)&gt;0</formula>
    </cfRule>
  </conditionalFormatting>
  <hyperlinks>
    <hyperlink ref="L6" r:id="rId1" display="Watch"/>
    <hyperlink ref="M6" r:id="rId2" display="Source"/>
    <hyperlink ref="L7" r:id="rId3" display="Watch"/>
    <hyperlink ref="M7" r:id="rId4" display="Source"/>
    <hyperlink ref="L8" r:id="rId5" display="Watch"/>
    <hyperlink ref="M8" r:id="rId6" display="Source"/>
    <hyperlink ref="L9" r:id="rId7" display="Watch"/>
    <hyperlink ref="L10" r:id="rId8" display="Watch"/>
    <hyperlink ref="M11" r:id="rId9" display="Source"/>
    <hyperlink ref="L13" r:id="rId10" display="Watch"/>
    <hyperlink ref="L14" r:id="rId11" display="Watch"/>
    <hyperlink ref="L15" r:id="rId12" display="Watch"/>
    <hyperlink ref="L16" r:id="rId13" display="Watch"/>
    <hyperlink ref="L17" r:id="rId14" display="Watch"/>
    <hyperlink ref="L18" r:id="rId15" display="Watch"/>
    <hyperlink ref="L19" r:id="rId16" display="Watch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7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84B2F"/>
    <pageSetUpPr fitToPage="false"/>
  </sheetPr>
  <dimension ref="B1:H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4"/>
    <col collapsed="false" customWidth="true" hidden="false" outlineLevel="0" max="3" min="3" style="1" width="36"/>
    <col collapsed="false" customWidth="true" hidden="false" outlineLevel="0" max="5" min="4" style="1" width="12"/>
    <col collapsed="false" customWidth="true" hidden="false" outlineLevel="0" max="7" min="6" style="1" width="60"/>
    <col collapsed="false" customWidth="true" hidden="false" outlineLevel="0" max="8" min="8" style="1" width="30"/>
  </cols>
  <sheetData>
    <row r="1" customFormat="false" ht="7.5" hidden="false" customHeight="true" outlineLevel="0" collapsed="false"/>
    <row r="2" customFormat="false" ht="30" hidden="false" customHeight="true" outlineLevel="0" collapsed="false">
      <c r="B2" s="17" t="s">
        <v>140</v>
      </c>
      <c r="C2" s="17"/>
      <c r="D2" s="17"/>
      <c r="E2" s="17"/>
      <c r="F2" s="17"/>
      <c r="G2" s="17"/>
      <c r="H2" s="17"/>
    </row>
    <row r="3" customFormat="false" ht="6" hidden="false" customHeight="true" outlineLevel="0" collapsed="false"/>
    <row r="5" customFormat="false" ht="31.5" hidden="false" customHeight="true" outlineLevel="0" collapsed="false">
      <c r="B5" s="18" t="s">
        <v>38</v>
      </c>
      <c r="C5" s="18" t="s">
        <v>141</v>
      </c>
      <c r="D5" s="18" t="s">
        <v>39</v>
      </c>
      <c r="E5" s="18" t="s">
        <v>142</v>
      </c>
      <c r="F5" s="18" t="s">
        <v>143</v>
      </c>
      <c r="G5" s="18" t="s">
        <v>144</v>
      </c>
      <c r="H5" s="18" t="s">
        <v>145</v>
      </c>
    </row>
    <row r="6" customFormat="false" ht="109.5" hidden="false" customHeight="true" outlineLevel="0" collapsed="false">
      <c r="B6" s="19" t="n">
        <v>1</v>
      </c>
      <c r="C6" s="21" t="s">
        <v>146</v>
      </c>
      <c r="D6" s="19" t="s">
        <v>147</v>
      </c>
      <c r="E6" s="19" t="s">
        <v>148</v>
      </c>
      <c r="F6" s="21" t="s">
        <v>149</v>
      </c>
      <c r="G6" s="21" t="s">
        <v>150</v>
      </c>
      <c r="H6" s="25" t="s">
        <v>63</v>
      </c>
    </row>
    <row r="7" customFormat="false" ht="109.5" hidden="false" customHeight="true" outlineLevel="0" collapsed="false">
      <c r="B7" s="19" t="n">
        <v>2</v>
      </c>
      <c r="C7" s="21" t="s">
        <v>151</v>
      </c>
      <c r="D7" s="19" t="s">
        <v>152</v>
      </c>
      <c r="E7" s="19" t="s">
        <v>148</v>
      </c>
      <c r="F7" s="21" t="s">
        <v>153</v>
      </c>
      <c r="G7" s="21" t="s">
        <v>154</v>
      </c>
      <c r="H7" s="25" t="s">
        <v>63</v>
      </c>
    </row>
    <row r="8" customFormat="false" ht="109.5" hidden="false" customHeight="true" outlineLevel="0" collapsed="false">
      <c r="B8" s="19" t="n">
        <v>3</v>
      </c>
      <c r="C8" s="21" t="s">
        <v>155</v>
      </c>
      <c r="D8" s="19" t="s">
        <v>156</v>
      </c>
      <c r="E8" s="19" t="s">
        <v>157</v>
      </c>
      <c r="F8" s="21" t="s">
        <v>158</v>
      </c>
      <c r="G8" s="21" t="s">
        <v>159</v>
      </c>
      <c r="H8" s="25" t="s">
        <v>63</v>
      </c>
    </row>
    <row r="9" customFormat="false" ht="109.5" hidden="false" customHeight="true" outlineLevel="0" collapsed="false">
      <c r="B9" s="19" t="n">
        <v>4</v>
      </c>
      <c r="C9" s="21" t="s">
        <v>160</v>
      </c>
      <c r="D9" s="19" t="s">
        <v>161</v>
      </c>
      <c r="E9" s="19" t="s">
        <v>148</v>
      </c>
      <c r="F9" s="21" t="s">
        <v>162</v>
      </c>
      <c r="G9" s="21" t="s">
        <v>163</v>
      </c>
      <c r="H9" s="25" t="s">
        <v>63</v>
      </c>
    </row>
    <row r="10" customFormat="false" ht="109.5" hidden="false" customHeight="true" outlineLevel="0" collapsed="false">
      <c r="B10" s="19" t="n">
        <v>5</v>
      </c>
      <c r="C10" s="21" t="s">
        <v>164</v>
      </c>
      <c r="D10" s="19" t="s">
        <v>152</v>
      </c>
      <c r="E10" s="19" t="s">
        <v>148</v>
      </c>
      <c r="F10" s="21" t="s">
        <v>165</v>
      </c>
      <c r="G10" s="21" t="s">
        <v>166</v>
      </c>
      <c r="H10" s="25" t="s">
        <v>63</v>
      </c>
    </row>
    <row r="11" customFormat="false" ht="109.5" hidden="false" customHeight="true" outlineLevel="0" collapsed="false">
      <c r="B11" s="19" t="n">
        <v>6</v>
      </c>
      <c r="C11" s="21" t="s">
        <v>167</v>
      </c>
      <c r="D11" s="19" t="s">
        <v>168</v>
      </c>
      <c r="E11" s="19" t="s">
        <v>148</v>
      </c>
      <c r="F11" s="21" t="s">
        <v>169</v>
      </c>
      <c r="G11" s="21" t="s">
        <v>170</v>
      </c>
      <c r="H11" s="25" t="s">
        <v>63</v>
      </c>
    </row>
    <row r="12" customFormat="false" ht="109.5" hidden="false" customHeight="true" outlineLevel="0" collapsed="false">
      <c r="B12" s="19" t="n">
        <v>7</v>
      </c>
      <c r="C12" s="21" t="s">
        <v>171</v>
      </c>
      <c r="D12" s="19" t="s">
        <v>168</v>
      </c>
      <c r="E12" s="19" t="s">
        <v>148</v>
      </c>
      <c r="F12" s="21" t="s">
        <v>172</v>
      </c>
      <c r="G12" s="21" t="s">
        <v>173</v>
      </c>
      <c r="H12" s="25" t="s">
        <v>63</v>
      </c>
    </row>
    <row r="13" customFormat="false" ht="109.5" hidden="false" customHeight="true" outlineLevel="0" collapsed="false">
      <c r="B13" s="19" t="n">
        <v>8</v>
      </c>
      <c r="C13" s="21" t="s">
        <v>174</v>
      </c>
      <c r="D13" s="19" t="s">
        <v>175</v>
      </c>
      <c r="E13" s="19" t="s">
        <v>157</v>
      </c>
      <c r="F13" s="21" t="s">
        <v>176</v>
      </c>
      <c r="G13" s="21" t="s">
        <v>177</v>
      </c>
      <c r="H13" s="25" t="s">
        <v>63</v>
      </c>
    </row>
  </sheetData>
  <autoFilter ref="B5:H13"/>
  <mergeCells count="1">
    <mergeCell ref="B2:H2"/>
  </mergeCells>
  <conditionalFormatting sqref="E6:E13">
    <cfRule type="cellIs" priority="2" operator="equal" aboveAverage="0" equalAverage="0" bottom="0" percent="0" rank="0" text="" dxfId="16">
      <formula>"Active"</formula>
    </cfRule>
    <cfRule type="cellIs" priority="3" operator="equal" aboveAverage="0" equalAverage="0" bottom="0" percent="0" rank="0" text="" dxfId="11">
      <formula>"Resolved"</formula>
    </cfRule>
  </conditionalFormatting>
  <hyperlinks>
    <hyperlink ref="H6" r:id="rId1" display="Source"/>
    <hyperlink ref="H7" r:id="rId2" display="Source"/>
    <hyperlink ref="H8" r:id="rId3" display="Source"/>
    <hyperlink ref="H9" r:id="rId4" display="Source"/>
    <hyperlink ref="H10" r:id="rId5" display="Source"/>
    <hyperlink ref="H11" r:id="rId6" display="Source"/>
    <hyperlink ref="H12" r:id="rId7" display="Source"/>
    <hyperlink ref="H13" r:id="rId8" display="Sourc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9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A7974"/>
    <pageSetUpPr fitToPage="false"/>
  </sheetPr>
  <dimension ref="B1:F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4"/>
    <col collapsed="false" customWidth="true" hidden="false" outlineLevel="0" max="3" min="3" style="1" width="38"/>
    <col collapsed="false" customWidth="true" hidden="false" outlineLevel="0" max="4" min="4" style="1" width="14"/>
    <col collapsed="false" customWidth="true" hidden="false" outlineLevel="0" max="5" min="5" style="1" width="60"/>
    <col collapsed="false" customWidth="true" hidden="false" outlineLevel="0" max="6" min="6" style="1" width="50"/>
  </cols>
  <sheetData>
    <row r="1" customFormat="false" ht="7.5" hidden="false" customHeight="true" outlineLevel="0" collapsed="false"/>
    <row r="2" customFormat="false" ht="30" hidden="false" customHeight="true" outlineLevel="0" collapsed="false">
      <c r="B2" s="17" t="s">
        <v>178</v>
      </c>
      <c r="C2" s="17"/>
      <c r="D2" s="17"/>
      <c r="E2" s="17"/>
      <c r="F2" s="17"/>
    </row>
    <row r="3" customFormat="false" ht="6" hidden="false" customHeight="true" outlineLevel="0" collapsed="false"/>
    <row r="5" customFormat="false" ht="27.75" hidden="false" customHeight="true" outlineLevel="0" collapsed="false">
      <c r="B5" s="26" t="s">
        <v>38</v>
      </c>
      <c r="C5" s="26" t="s">
        <v>63</v>
      </c>
      <c r="D5" s="26" t="s">
        <v>41</v>
      </c>
      <c r="E5" s="26" t="s">
        <v>179</v>
      </c>
      <c r="F5" s="26" t="s">
        <v>180</v>
      </c>
    </row>
    <row r="6" customFormat="false" ht="25.5" hidden="false" customHeight="true" outlineLevel="0" collapsed="false">
      <c r="B6" s="27" t="n">
        <v>1</v>
      </c>
      <c r="C6" s="28" t="s">
        <v>181</v>
      </c>
      <c r="D6" s="27" t="s">
        <v>182</v>
      </c>
      <c r="E6" s="29" t="s">
        <v>183</v>
      </c>
      <c r="F6" s="28" t="s">
        <v>184</v>
      </c>
    </row>
    <row r="7" customFormat="false" ht="25.5" hidden="false" customHeight="true" outlineLevel="0" collapsed="false">
      <c r="B7" s="27" t="n">
        <v>2</v>
      </c>
      <c r="C7" s="28" t="s">
        <v>185</v>
      </c>
      <c r="D7" s="27" t="s">
        <v>182</v>
      </c>
      <c r="E7" s="29" t="s">
        <v>186</v>
      </c>
      <c r="F7" s="28" t="s">
        <v>187</v>
      </c>
    </row>
    <row r="8" customFormat="false" ht="25.5" hidden="false" customHeight="true" outlineLevel="0" collapsed="false">
      <c r="B8" s="27" t="n">
        <v>3</v>
      </c>
      <c r="C8" s="28" t="s">
        <v>188</v>
      </c>
      <c r="D8" s="27" t="s">
        <v>189</v>
      </c>
      <c r="E8" s="29" t="s">
        <v>190</v>
      </c>
      <c r="F8" s="28" t="s">
        <v>191</v>
      </c>
    </row>
    <row r="9" customFormat="false" ht="25.5" hidden="false" customHeight="true" outlineLevel="0" collapsed="false">
      <c r="B9" s="27" t="n">
        <v>4</v>
      </c>
      <c r="C9" s="28" t="s">
        <v>192</v>
      </c>
      <c r="D9" s="27" t="s">
        <v>189</v>
      </c>
      <c r="E9" s="29" t="s">
        <v>193</v>
      </c>
      <c r="F9" s="28" t="s">
        <v>194</v>
      </c>
    </row>
    <row r="10" customFormat="false" ht="25.5" hidden="false" customHeight="true" outlineLevel="0" collapsed="false">
      <c r="B10" s="27" t="n">
        <v>5</v>
      </c>
      <c r="C10" s="28" t="s">
        <v>195</v>
      </c>
      <c r="D10" s="27" t="s">
        <v>196</v>
      </c>
      <c r="E10" s="29" t="s">
        <v>197</v>
      </c>
      <c r="F10" s="28" t="s">
        <v>198</v>
      </c>
    </row>
    <row r="11" customFormat="false" ht="25.5" hidden="false" customHeight="true" outlineLevel="0" collapsed="false">
      <c r="B11" s="27" t="n">
        <v>6</v>
      </c>
      <c r="C11" s="28" t="s">
        <v>199</v>
      </c>
      <c r="D11" s="27" t="s">
        <v>196</v>
      </c>
      <c r="E11" s="29" t="s">
        <v>200</v>
      </c>
      <c r="F11" s="28" t="s">
        <v>201</v>
      </c>
    </row>
    <row r="12" customFormat="false" ht="25.5" hidden="false" customHeight="true" outlineLevel="0" collapsed="false">
      <c r="B12" s="27" t="n">
        <v>7</v>
      </c>
      <c r="C12" s="28" t="s">
        <v>202</v>
      </c>
      <c r="D12" s="27" t="s">
        <v>189</v>
      </c>
      <c r="E12" s="29" t="s">
        <v>203</v>
      </c>
      <c r="F12" s="28" t="s">
        <v>204</v>
      </c>
    </row>
    <row r="13" customFormat="false" ht="25.5" hidden="false" customHeight="true" outlineLevel="0" collapsed="false">
      <c r="B13" s="27" t="n">
        <v>8</v>
      </c>
      <c r="C13" s="28" t="s">
        <v>205</v>
      </c>
      <c r="D13" s="27" t="s">
        <v>206</v>
      </c>
      <c r="E13" s="29" t="s">
        <v>207</v>
      </c>
      <c r="F13" s="28" t="s">
        <v>208</v>
      </c>
    </row>
    <row r="14" customFormat="false" ht="25.5" hidden="false" customHeight="true" outlineLevel="0" collapsed="false">
      <c r="B14" s="27" t="n">
        <v>9</v>
      </c>
      <c r="C14" s="28" t="s">
        <v>209</v>
      </c>
      <c r="D14" s="27" t="s">
        <v>206</v>
      </c>
      <c r="E14" s="29" t="s">
        <v>210</v>
      </c>
      <c r="F14" s="28" t="s">
        <v>211</v>
      </c>
    </row>
    <row r="15" customFormat="false" ht="25.5" hidden="false" customHeight="true" outlineLevel="0" collapsed="false">
      <c r="B15" s="27" t="n">
        <v>10</v>
      </c>
      <c r="C15" s="28" t="s">
        <v>212</v>
      </c>
      <c r="D15" s="27" t="s">
        <v>206</v>
      </c>
      <c r="E15" s="29" t="s">
        <v>213</v>
      </c>
      <c r="F15" s="28" t="s">
        <v>214</v>
      </c>
    </row>
    <row r="16" customFormat="false" ht="25.5" hidden="false" customHeight="true" outlineLevel="0" collapsed="false">
      <c r="B16" s="27" t="n">
        <v>11</v>
      </c>
      <c r="C16" s="28" t="s">
        <v>215</v>
      </c>
      <c r="D16" s="27" t="s">
        <v>206</v>
      </c>
      <c r="E16" s="29" t="s">
        <v>216</v>
      </c>
      <c r="F16" s="28" t="s">
        <v>217</v>
      </c>
    </row>
    <row r="17" customFormat="false" ht="25.5" hidden="false" customHeight="true" outlineLevel="0" collapsed="false">
      <c r="B17" s="27" t="n">
        <v>12</v>
      </c>
      <c r="C17" s="28" t="s">
        <v>218</v>
      </c>
      <c r="D17" s="27" t="s">
        <v>206</v>
      </c>
      <c r="E17" s="29" t="s">
        <v>219</v>
      </c>
      <c r="F17" s="28" t="s">
        <v>220</v>
      </c>
    </row>
    <row r="18" customFormat="false" ht="25.5" hidden="false" customHeight="true" outlineLevel="0" collapsed="false">
      <c r="B18" s="27" t="n">
        <v>13</v>
      </c>
      <c r="C18" s="28" t="s">
        <v>221</v>
      </c>
      <c r="D18" s="27" t="s">
        <v>206</v>
      </c>
      <c r="E18" s="29" t="s">
        <v>222</v>
      </c>
      <c r="F18" s="28" t="s">
        <v>223</v>
      </c>
    </row>
    <row r="19" customFormat="false" ht="25.5" hidden="false" customHeight="true" outlineLevel="0" collapsed="false">
      <c r="B19" s="27" t="n">
        <v>14</v>
      </c>
      <c r="C19" s="28" t="s">
        <v>224</v>
      </c>
      <c r="D19" s="27" t="s">
        <v>225</v>
      </c>
      <c r="E19" s="29" t="s">
        <v>226</v>
      </c>
      <c r="F19" s="28" t="s">
        <v>227</v>
      </c>
    </row>
    <row r="20" customFormat="false" ht="23.25" hidden="false" customHeight="true" outlineLevel="0" collapsed="false">
      <c r="B20" s="27" t="n">
        <v>15</v>
      </c>
      <c r="C20" s="28" t="s">
        <v>228</v>
      </c>
      <c r="D20" s="27" t="s">
        <v>182</v>
      </c>
      <c r="E20" s="29" t="s">
        <v>229</v>
      </c>
      <c r="F20" s="28" t="s">
        <v>230</v>
      </c>
    </row>
  </sheetData>
  <autoFilter ref="B5:F19"/>
  <mergeCells count="1">
    <mergeCell ref="B2:F2"/>
  </mergeCells>
  <hyperlinks>
    <hyperlink ref="E6" r:id="rId1" display="https://www.youtube.com/@georgiastateelectionboard"/>
    <hyperlink ref="E7" r:id="rId2" display="https://sos.ga.gov/state-election-board"/>
    <hyperlink ref="E8" r:id="rId3" display="https://americanoversight.org/"/>
    <hyperlink ref="E9" r:id="rId4" display="https://www.democracydocket.com/cases/georgia-state-election-board-meeting-challenge/"/>
    <hyperlink ref="E10" r:id="rId5" display="https://www.aclu.org/press-releases/georgia-supreme-court-upholds-block-on-hand-counting-rule-in-major-win-for-voters"/>
    <hyperlink ref="E11" r:id="rId6" display="https://www.lawyerscommittee.org/court-blocks-georgias-new-hand-counting-rule-in-victory-for-voters/"/>
    <hyperlink ref="E12" r:id="rId7" display="https://thirdact.org/georgia/2026/01/23/state-elections-board-meeting-on-jan-21-2026/"/>
    <hyperlink ref="E13" r:id="rId8" display="https://www.fox5atlanta.com/news/georgia-election-board-meeting-fb-raid-fallout"/>
    <hyperlink ref="E14" r:id="rId9" display="https://abcnews.com/Politics/fbi-conducting-court-ordered-activity-georgia-election-site/story?id=129644345"/>
    <hyperlink ref="E15" r:id="rId10" display="https://www.pbs.org/newshour/show/fbi-documents-show-what-led-to-raid-of-georgia-elections-office"/>
    <hyperlink ref="E16" r:id="rId11" display="https://roughdraftatlanta.com/2026/04/23/georgia-election-hand-marked-ballots/"/>
    <hyperlink ref="E17" r:id="rId12" display="https://savannahagenda.com/georgia-faces-election-uncertainty-as-qr-code-ban-takes-effect-july-1/"/>
    <hyperlink ref="E18" r:id="rId13" display="https://capitol-beat.org/2026/04/georgia-elections-bill-fails-which-could-lead-to-quick-switch-to-hand-marked-ballots/"/>
    <hyperlink ref="E19" r:id="rId14" display="https://law.justia.com/codes/georgia/title-50/chapter-14/"/>
    <hyperlink ref="E20" r:id="rId15" display="https://sos.ga.gov/sites/default/files/2026-05/agenda_-_seb_special_called_meeting_-_may_14_2026.pdf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6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553"/>
    <pageSetUpPr fitToPage="false"/>
  </sheetPr>
  <dimension ref="B1:B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10"/>
  </cols>
  <sheetData>
    <row r="1" customFormat="false" ht="7.5" hidden="false" customHeight="true" outlineLevel="0" collapsed="false"/>
    <row r="2" customFormat="false" ht="30" hidden="false" customHeight="true" outlineLevel="0" collapsed="false">
      <c r="B2" s="30" t="s">
        <v>231</v>
      </c>
    </row>
    <row r="4" customFormat="false" ht="24" hidden="false" customHeight="true" outlineLevel="0" collapsed="false">
      <c r="B4" s="31" t="s">
        <v>232</v>
      </c>
    </row>
    <row r="5" customFormat="false" ht="30" hidden="false" customHeight="true" outlineLevel="0" collapsed="false">
      <c r="B5" s="32" t="s">
        <v>233</v>
      </c>
    </row>
    <row r="6" customFormat="false" ht="30" hidden="false" customHeight="true" outlineLevel="0" collapsed="false">
      <c r="B6" s="32" t="s">
        <v>234</v>
      </c>
    </row>
    <row r="7" customFormat="false" ht="30" hidden="false" customHeight="true" outlineLevel="0" collapsed="false">
      <c r="B7" s="32" t="s">
        <v>235</v>
      </c>
    </row>
    <row r="8" customFormat="false" ht="30" hidden="false" customHeight="true" outlineLevel="0" collapsed="false">
      <c r="B8" s="32" t="s">
        <v>236</v>
      </c>
    </row>
    <row r="9" customFormat="false" ht="30" hidden="false" customHeight="true" outlineLevel="0" collapsed="false">
      <c r="B9" s="32"/>
    </row>
    <row r="10" customFormat="false" ht="24" hidden="false" customHeight="true" outlineLevel="0" collapsed="false">
      <c r="B10" s="31" t="s">
        <v>237</v>
      </c>
    </row>
    <row r="11" customFormat="false" ht="30" hidden="false" customHeight="true" outlineLevel="0" collapsed="false">
      <c r="B11" s="32" t="s">
        <v>238</v>
      </c>
    </row>
    <row r="12" customFormat="false" ht="30" hidden="false" customHeight="true" outlineLevel="0" collapsed="false">
      <c r="B12" s="32" t="s">
        <v>239</v>
      </c>
    </row>
    <row r="13" customFormat="false" ht="30" hidden="false" customHeight="true" outlineLevel="0" collapsed="false">
      <c r="B13" s="32" t="s">
        <v>240</v>
      </c>
    </row>
    <row r="14" customFormat="false" ht="30" hidden="false" customHeight="true" outlineLevel="0" collapsed="false">
      <c r="B14" s="32"/>
    </row>
    <row r="15" customFormat="false" ht="24" hidden="false" customHeight="true" outlineLevel="0" collapsed="false">
      <c r="B15" s="31" t="s">
        <v>241</v>
      </c>
    </row>
    <row r="16" customFormat="false" ht="30" hidden="false" customHeight="true" outlineLevel="0" collapsed="false">
      <c r="B16" s="32" t="s">
        <v>242</v>
      </c>
    </row>
    <row r="17" customFormat="false" ht="30" hidden="false" customHeight="true" outlineLevel="0" collapsed="false">
      <c r="B17" s="32" t="s">
        <v>243</v>
      </c>
    </row>
    <row r="18" customFormat="false" ht="30" hidden="false" customHeight="true" outlineLevel="0" collapsed="false">
      <c r="B18" s="32"/>
    </row>
    <row r="19" customFormat="false" ht="24" hidden="false" customHeight="true" outlineLevel="0" collapsed="false">
      <c r="B19" s="31" t="s">
        <v>244</v>
      </c>
    </row>
    <row r="20" customFormat="false" ht="30" hidden="false" customHeight="true" outlineLevel="0" collapsed="false">
      <c r="B20" s="32" t="s">
        <v>245</v>
      </c>
    </row>
    <row r="21" customFormat="false" ht="30" hidden="false" customHeight="true" outlineLevel="0" collapsed="false">
      <c r="B21" s="32" t="s">
        <v>246</v>
      </c>
    </row>
    <row r="22" customFormat="false" ht="30" hidden="false" customHeight="true" outlineLevel="0" collapsed="false">
      <c r="B22" s="32"/>
    </row>
    <row r="23" customFormat="false" ht="24" hidden="false" customHeight="true" outlineLevel="0" collapsed="false">
      <c r="B23" s="31" t="s">
        <v>247</v>
      </c>
    </row>
    <row r="24" customFormat="false" ht="30" hidden="false" customHeight="true" outlineLevel="0" collapsed="false">
      <c r="B24" s="32" t="s">
        <v>248</v>
      </c>
    </row>
    <row r="25" customFormat="false" ht="30" hidden="false" customHeight="true" outlineLevel="0" collapsed="false">
      <c r="B25" s="32" t="s">
        <v>249</v>
      </c>
    </row>
    <row r="26" customFormat="false" ht="30" hidden="false" customHeight="true" outlineLevel="0" collapsed="false">
      <c r="B26" s="32" t="s">
        <v>250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2026-04-28T06:17:55Z</dcterms:created>
  <dc:creator>openpyxl</dc:creator>
  <dc:description/>
  <dc:language>en-US</dc:language>
  <cp:lastModifiedBy/>
  <dcterms:modified xsi:type="dcterms:W3CDTF">2026-05-16T22:35:07Z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